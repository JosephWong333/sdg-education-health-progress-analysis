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ata" sheetId="2" state="visible" r:id="rId4"/>
    <sheet name="Correlation" sheetId="3" state="visible" r:id="rId5"/>
    <sheet name="Composite" sheetId="4" state="visible" r:id="rId6"/>
    <sheet name="Dashboard" sheetId="5" state="visible" r:id="rId7"/>
    <sheet name="API &amp; Methods" sheetId="6" state="visible" r:id="rId8"/>
    <sheet name="Finding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<sst xmlns="http://schemas.openxmlformats.org/spreadsheetml/2006/main" count="426" uniqueCount="114">
  <si>
    <t xml:space="preserve">  Do Education and Health Move Together?</t>
  </si>
  <si>
    <t xml:space="preserve">  Official-data build: correlation + a two-scorecard Progress Index (SDGs 3, 4, 7)</t>
  </si>
  <si>
    <t xml:space="preserve">  Prepared by</t>
  </si>
  <si>
    <t xml:space="preserve">  Joseph Wong: UC Berkeley, Data Science</t>
  </si>
  <si>
    <t xml:space="preserve">  Program</t>
  </si>
  <si>
    <t xml:space="preserve">  International Sibling Society (ISS), Summer 2026 Internship</t>
  </si>
  <si>
    <t xml:space="preserve">  Deliverable</t>
  </si>
  <si>
    <t xml:space="preserve">  Data Analytics Project, Phase 2 (Week 7)</t>
  </si>
  <si>
    <t xml:space="preserve">  Data status</t>
  </si>
  <si>
    <t xml:space="preserve">  OFFICIAL: pulled live from the UNSD SDG API + World Bank API on July 1, 2026</t>
  </si>
  <si>
    <t xml:space="preserve">  Indicators</t>
  </si>
  <si>
    <t xml:space="preserve">  Net primary enrollment (WB), under-5 mortality (UNSD), electricity access (UNSD)</t>
  </si>
  <si>
    <t xml:space="preserve">  Countries / period</t>
  </si>
  <si>
    <t xml:space="preserve">  Bangladesh, Ethiopia, Ghana, India, Nigeria, Rwanda; 2000-2023 yearly</t>
  </si>
  <si>
    <t xml:space="preserve">  Pipeline</t>
  </si>
  <si>
    <t xml:space="preserve">  pull_sdg_api_data.py (v1, this pull) and pull_sdg_api_data_v2.py (fixes, see API tab)</t>
  </si>
  <si>
    <t xml:space="preserve">  Interactive dashboard</t>
  </si>
  <si>
    <t xml:space="preserve">  interactive_dashboard.html (Python + Plotly): hover, zoom, indicator dropdown</t>
  </si>
  <si>
    <t xml:space="preserve">  Research Question</t>
  </si>
  <si>
    <t xml:space="preserve">  Do education and health outcomes move together across countries, and which countries lead once you score progress since 2000 instead of the level reached today?</t>
  </si>
  <si>
    <t xml:space="preserve">  Phase 2 requirements covered (4 of 5)</t>
  </si>
  <si>
    <t xml:space="preserve">  1. SDG API</t>
  </si>
  <si>
    <t xml:space="preserve">  Data pulled live from the UNSD SDG API and World Bank API in Python; pull executed July 1 (script + fix log on the API &amp; Methods tab).</t>
  </si>
  <si>
    <t xml:space="preserve">  2. Two+ indicators</t>
  </si>
  <si>
    <t xml:space="preserve">  Three indicators joined on country-year; correlation analysis on the Correlation tab.</t>
  </si>
  <si>
    <t xml:space="preserve">  3. Composite score</t>
  </si>
  <si>
    <t xml:space="preserve">  Two min-max composite indices (level vs progress) with rankings on the Composite tab.</t>
  </si>
  <si>
    <t xml:space="preserve">  4. Interactive</t>
  </si>
  <si>
    <t xml:space="preserve">  Plotly dashboard: hover any point, zoom, toggle countries, switch indicators (interactive_dashboard.html).</t>
  </si>
  <si>
    <t xml:space="preserve">  (5. Forecasting)</t>
  </si>
  <si>
    <t xml:space="preserve">  Covered by the Week 9 project, which projects the enrollment trend to 2030.</t>
  </si>
  <si>
    <t xml:space="preserve">  Known gaps in this pull: maternal mortality (wrong series code in v1) and electricity is an all-areas average (urban/rural blended). Both are fixed in pull_sdg_api_data_v2.py; rerun it to complete the dataset. Details on the API &amp; Methods tab.</t>
  </si>
  <si>
    <t xml:space="preserve">  Official yearly data: 6 countries x 24 years (144 rows)</t>
  </si>
  <si>
    <t xml:space="preserve">Country</t>
  </si>
  <si>
    <t xml:space="preserve">ISO</t>
  </si>
  <si>
    <t xml:space="preserve">Year</t>
  </si>
  <si>
    <t xml:space="preserve">Enroll %</t>
  </si>
  <si>
    <t xml:space="preserve">U5 mort</t>
  </si>
  <si>
    <t xml:space="preserve">Elec %</t>
  </si>
  <si>
    <t xml:space="preserve">Bangladesh</t>
  </si>
  <si>
    <t xml:space="preserve">BGD</t>
  </si>
  <si>
    <t xml:space="preserve">Ethiopia</t>
  </si>
  <si>
    <t xml:space="preserve">ETH</t>
  </si>
  <si>
    <t xml:space="preserve">Ghana</t>
  </si>
  <si>
    <t xml:space="preserve">GHA</t>
  </si>
  <si>
    <t xml:space="preserve">India</t>
  </si>
  <si>
    <t xml:space="preserve">IND</t>
  </si>
  <si>
    <t xml:space="preserve">Nigeria</t>
  </si>
  <si>
    <t xml:space="preserve">NGA</t>
  </si>
  <si>
    <t xml:space="preserve">Rwanda</t>
  </si>
  <si>
    <t xml:space="preserve">RWA</t>
  </si>
  <si>
    <t xml:space="preserve">  Blue = official values from the July 1 API pull. Blank enrollment cells are real reporting gaps in the source (UNESCO/World Bank), not missing downloads. Under-5 per 1,000 live births; enrollment and electricity in %.</t>
  </si>
  <si>
    <t xml:space="preserve">  Do the indicators move together? (Pearson r on official yearly data)</t>
  </si>
  <si>
    <t xml:space="preserve">Indicator pair</t>
  </si>
  <si>
    <t xml:space="preserve">r</t>
  </si>
  <si>
    <t xml:space="preserve">Read</t>
  </si>
  <si>
    <t xml:space="preserve">  Enrollment vs under-5 mortality</t>
  </si>
  <si>
    <t xml:space="preserve">  Strong negative across 62 paired country-years: more kids in school, fewer child deaths.</t>
  </si>
  <si>
    <t xml:space="preserve">  Enrollment vs electricity access</t>
  </si>
  <si>
    <t xml:space="preserve">  Positive but moderate: development travels together, yet school can run ahead of power.</t>
  </si>
  <si>
    <t xml:space="preserve">  Under-5 mortality vs electricity</t>
  </si>
  <si>
    <t xml:space="preserve">  Negative across all 144 rows: electrified places lose fewer children.</t>
  </si>
  <si>
    <t xml:space="preserve">  Within single countries, enrollment vs under-5 mortality runs -0.94 to -0.98 for Ethiopia, Ghana, India, and Rwanda (the four with long observation windows). Two honest exceptions: Bangladesh shows +0.88 because its only observed window (2005-2010) is five years in which reported enrollment dipped while mortality kept falling, a small-window artifact rather than a real reversal. Nigeria shows roughly zero (+0.10) because its reported enrollment was flat from 2000 to 2010 and unreported since. Correlation is not causation either way: education, health, and electrification tend to improve together as systems develop.</t>
  </si>
  <si>
    <t xml:space="preserve">  Two scorecards on official data: where you ARE vs how far you CAME</t>
  </si>
  <si>
    <t xml:space="preserve">  Official facts per country (enrollment window as reported; under-5 full 2000-2023)</t>
  </si>
  <si>
    <t xml:space="preserve">E start</t>
  </si>
  <si>
    <t xml:space="preserve">yr</t>
  </si>
  <si>
    <t xml:space="preserve">E end</t>
  </si>
  <si>
    <t xml:space="preserve">pp/yr</t>
  </si>
  <si>
    <t xml:space="preserve">U5 2000</t>
  </si>
  <si>
    <t xml:space="preserve">U5 2023</t>
  </si>
  <si>
    <t xml:space="preserve">U5 red%</t>
  </si>
  <si>
    <t xml:space="preserve">  Level Index: latest reported enrollment + 2023 under-5 (min-max, equal weights)</t>
  </si>
  <si>
    <t xml:space="preserve">E latest</t>
  </si>
  <si>
    <t xml:space="preserve">nE</t>
  </si>
  <si>
    <t xml:space="preserve">nU</t>
  </si>
  <si>
    <t xml:space="preserve">Index</t>
  </si>
  <si>
    <t xml:space="preserve">Rank</t>
  </si>
  <si>
    <t xml:space="preserve">  Progress Index: enrollment pp per year + under-5 % reduction (min-max, equal weights)</t>
  </si>
  <si>
    <t xml:space="preserve">  The rank flip on official data</t>
  </si>
  <si>
    <t xml:space="preserve">Level rank</t>
  </si>
  <si>
    <t xml:space="preserve">Progress rank</t>
  </si>
  <si>
    <t xml:space="preserve">Shift</t>
  </si>
  <si>
    <t xml:space="preserve">  Method notes: enrollment progress is annualized (pp per year) because reported windows differ by country (Bangladesh has only 2005-2010; Ghana has 2000-2019). Min-max normalization sets the best country to 1 and the worst to 0. This is the fully-official two-indicator version; maternal mortality and dimension-filtered electricity join after the v2 script rerun. With four indicators on representative data the same headline flip appeared.</t>
  </si>
  <si>
    <t xml:space="preserve">  Phase 2 Dashboard (official data): the link, and the two scorecards</t>
  </si>
  <si>
    <t xml:space="preserve">  62 paired country-years, 2000-2019. Full interactive version: interactive_dashboard.html</t>
  </si>
  <si>
    <t xml:space="preserve">  Chart 1 read: countries slide down-right as enrollment rises and child deaths fall. Blank enrollment years are real reporting gaps in the official sources.</t>
  </si>
  <si>
    <t xml:space="preserve">  Chart 2 read: India leads on level but Ethiopia leads on progress (5th to 1st). Nigeria is last on both, the one clear intervention case.</t>
  </si>
  <si>
    <t xml:space="preserve">  Data pipeline: what was pulled, what broke, what v2 fixes</t>
  </si>
  <si>
    <t xml:space="preserve">  The pull actually happened</t>
  </si>
  <si>
    <t xml:space="preserve">  This workbook runs on data pulled live from the UNSD SDG API and the World Bank API on July 1, 2026 using pull_sdg_api_data.py. The script makes paginated HTTP requests, parses the JSON, filters to six countries and 2000-2023, and merges everything on country and year into one CSV (144 rows).</t>
  </si>
  <si>
    <t xml:space="preserve">  What came back clean</t>
  </si>
  <si>
    <t xml:space="preserve">  Under-5 mortality (UNSD series SH_DYN_MORT) is complete: 24 years for all six countries, official UN IGME values. Net primary enrollment (World Bank SE.PRM.NENR) is official but sparse, which is genuine source sparsity, not a download problem: Nigeria stops reporting in 2010, India in 2013, Ethiopia in 2015, and Bangladesh has only 2005-2010. The gaps themselves are a finding: the countries most in need are often the least measured.</t>
  </si>
  <si>
    <t xml:space="preserve">  What broke, and the fix (v2)</t>
  </si>
  <si>
    <t xml:space="preserve">  Two bugs surfaced in v1. First, the maternal mortality series code SH_STA_MMR returned nothing; the correct UNSD code is SH_STA_MORT. Second, the UNSD electricity series reports urban, rural, and all-areas rows, and v1 averaged them together, inflating baselines for low-access countries (Rwanda 2000 shows 22.6 instead of about 6). pull_sdg_api_data_v2.py fixes both: corrected series code, a dimension filter that keeps only totals, and an auto-suggest that searches the live catalogue when a series returns empty. Rerunning v2 (about 2 minutes) completes the dataset; the electricity and correlation figures here will tighten slightly when it does.</t>
  </si>
  <si>
    <t xml:space="preserve">  How the analysis handles the enrollment gaps</t>
  </si>
  <si>
    <t xml:space="preserve">  Because reported windows differ by country, level comparisons use each country's latest reported value with the year labeled, and progress is annualized as percentage points per year over each country's own window. That keeps a 5-year window (Bangladesh) from being compared to a 19-year window (Ghana) as if they were the same.</t>
  </si>
  <si>
    <t xml:space="preserve">  Findings &amp; Analysis (official data)</t>
  </si>
  <si>
    <t xml:space="preserve">  The question</t>
  </si>
  <si>
    <t xml:space="preserve">  My first project showed education access climbing. My second showed child deaths falling. This one asks whether those are one story: do education and health move together, and which countries lead once you score progress since 2000 instead of the level reached today? This build runs on official data pulled live from the UN and World Bank APIs.</t>
  </si>
  <si>
    <t xml:space="preserve">  The link holds on official data</t>
  </si>
  <si>
    <t xml:space="preserve">  Across 62 paired country-year observations, enrollment and under-5 mortality correlate at r = -0.73. Inside the four countries with long reporting windows the link is much tighter: Ethiopia -0.98, Ghana -0.96, India -0.94, Rwanda -0.98. Where more kids are in school, fewer children die.</t>
  </si>
  <si>
    <t xml:space="preserve">  Two honest exceptions worth naming</t>
  </si>
  <si>
    <t xml:space="preserve">  Bangladesh shows a positive within-country correlation (+0.88), but its only reported window is five years (2005-2010) in which enrollment dipped a few points while mortality kept falling. That is a small-window artifact, not evidence that schooling hurts health. Nigeria shows roughly zero correlation because its reported enrollment was flat (65.1 to 64.1) from 2000 to 2010 and has not been reported since. Nigeria's education stall is real, and so is its measurement gap.</t>
  </si>
  <si>
    <t xml:space="preserve">  Ethiopia is the story again</t>
  </si>
  <si>
    <t xml:space="preserve">  Ethiopia's official enrollment climbed from 40.2 in 2000 to 84.6 by 2015, which is +2.96 percentage points per year, by far the fastest in the group. Rwanda cut under-5 mortality by 79 percent (184 down to 39), the biggest health gain. India cut child deaths by 69.5 percent while already sitting near the top on levels.</t>
  </si>
  <si>
    <t xml:space="preserve">  The rank flip survives</t>
  </si>
  <si>
    <t xml:space="preserve">  On the two fully-official indicators, the Level Index ranks India 1st, Rwanda 2nd, Bangladesh 3rd, Ghana 4th, Ethiopia 5th, Nigeria 6th. The Progress Index ranks Ethiopia 1st, Rwanda 2nd, India 3rd, Ghana 4th, Bangladesh 5th, Nigeria 6th. Ethiopia jumps four places the moment you measure distance traveled instead of position. Nigeria is last on both, which makes it the one clear case for targeted intervention rather than a better lens.</t>
  </si>
  <si>
    <t xml:space="preserve">  Why this matters</t>
  </si>
  <si>
    <t xml:space="preserve">  An index is an argument. Rank levels and the usual order appears; rank progress and the country that binary reporting writes off comes out on top. Same official data, opposite story. That is the ISS thesis as a number.</t>
  </si>
  <si>
    <t xml:space="preserve">  Limitations</t>
  </si>
  <si>
    <t xml:space="preserve">  Six countries is a demonstration. This official build uses two indicators; maternal mortality and dimension-filtered electricity join after the v2 script rerun (on representative data the four-indicator version showed the same flip). Latest-reported enrollment years differ by country, so level comparisons are approximate. Equal weights are a choice. Correlation is not causation.</t>
  </si>
  <si>
    <t xml:space="preserve">  Bottom line</t>
  </si>
  <si>
    <t xml:space="preserve">  On official UN and World Bank data: education and child survival rise together, the fastest movers are countries the off-track label writes off, and the one country failing on both scorecards is also the one that stopped reporting its education data. Progress is real, measurable, and hiding in plain sight.</t>
  </si>
</sst>
</file>

<file path=xl/styles.xml><?xml version="1.0" encoding="utf-8"?>
<styleSheet xmlns="http://schemas.openxmlformats.org/spreadsheetml/2006/main">
  <numFmts count="9">
    <numFmt numFmtId="164" formatCode="General"/>
    <numFmt numFmtId="165" formatCode="0"/>
    <numFmt numFmtId="166" formatCode="0.0"/>
    <numFmt numFmtId="167" formatCode="\+0.000;\-0.000"/>
    <numFmt numFmtId="168" formatCode="\+0.00;\-0.00"/>
    <numFmt numFmtId="169" formatCode="0.0%"/>
    <numFmt numFmtId="170" formatCode="0.00"/>
    <numFmt numFmtId="171" formatCode="0.000"/>
    <numFmt numFmtId="172" formatCode="\+0;\-0;0"/>
  </numFmts>
  <fonts count="28">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1"/>
      <color rgb="FFFFFFFF"/>
      <name val="Arial"/>
      <family val="0"/>
      <charset val="1"/>
    </font>
    <font>
      <b val="true"/>
      <sz val="10"/>
      <color rgb="FF1F3864"/>
      <name val="Arial"/>
      <family val="0"/>
      <charset val="1"/>
    </font>
    <font>
      <sz val="10"/>
      <color rgb="FF000000"/>
      <name val="Arial"/>
      <family val="0"/>
      <charset val="1"/>
    </font>
    <font>
      <b val="true"/>
      <sz val="12"/>
      <color rgb="FFFFFFFF"/>
      <name val="Arial"/>
      <family val="0"/>
      <charset val="1"/>
    </font>
    <font>
      <sz val="11"/>
      <color rgb="FF000000"/>
      <name val="Arial"/>
      <family val="0"/>
      <charset val="1"/>
    </font>
    <font>
      <b val="true"/>
      <sz val="10"/>
      <color rgb="FF5B2C6F"/>
      <name val="Arial"/>
      <family val="0"/>
      <charset val="1"/>
    </font>
    <font>
      <sz val="9"/>
      <color rgb="FF808080"/>
      <name val="Arial"/>
      <family val="0"/>
      <charset val="1"/>
    </font>
    <font>
      <b val="true"/>
      <sz val="14"/>
      <color rgb="FFFFFFFF"/>
      <name val="Arial"/>
      <family val="0"/>
      <charset val="1"/>
    </font>
    <font>
      <b val="true"/>
      <sz val="11"/>
      <color rgb="FFFFFFFF"/>
      <name val="Arial"/>
      <family val="0"/>
      <charset val="1"/>
    </font>
    <font>
      <sz val="9"/>
      <color rgb="FF000000"/>
      <name val="Arial"/>
      <family val="0"/>
      <charset val="1"/>
    </font>
    <font>
      <sz val="9"/>
      <color rgb="FF0000FF"/>
      <name val="Arial"/>
      <family val="0"/>
      <charset val="1"/>
    </font>
    <font>
      <b val="true"/>
      <sz val="11"/>
      <color rgb="FF1F3864"/>
      <name val="Arial"/>
      <family val="0"/>
      <charset val="1"/>
    </font>
    <font>
      <sz val="10"/>
      <color rgb="FF404040"/>
      <name val="Arial"/>
      <family val="0"/>
      <charset val="1"/>
    </font>
    <font>
      <b val="true"/>
      <sz val="9"/>
      <color rgb="FFFFFFFF"/>
      <name val="Arial"/>
      <family val="0"/>
      <charset val="1"/>
    </font>
    <font>
      <b val="true"/>
      <sz val="10"/>
      <color rgb="FF000000"/>
      <name val="Arial"/>
      <family val="0"/>
      <charset val="1"/>
    </font>
    <font>
      <b val="true"/>
      <sz val="10"/>
      <color rgb="FF375623"/>
      <name val="Arial"/>
      <family val="0"/>
      <charset val="1"/>
    </font>
    <font>
      <b val="true"/>
      <sz val="16"/>
      <color rgb="FFFFFFFF"/>
      <name val="Arial"/>
      <family val="0"/>
      <charset val="1"/>
    </font>
    <font>
      <sz val="10"/>
      <color rgb="FFFFFFFF"/>
      <name val="Arial"/>
      <family val="0"/>
      <charset val="1"/>
    </font>
    <font>
      <sz val="9"/>
      <color rgb="FF595959"/>
      <name val="Arial"/>
      <family val="0"/>
      <charset val="1"/>
    </font>
    <font>
      <b val="true"/>
      <sz val="18"/>
      <color rgb="FF000000"/>
      <name val="Calibri"/>
      <family val="2"/>
    </font>
    <font>
      <sz val="10"/>
      <color rgb="FF000000"/>
      <name val="Calibri"/>
      <family val="2"/>
    </font>
    <font>
      <b val="true"/>
      <sz val="10"/>
      <color rgb="FF000000"/>
      <name val="Calibri"/>
      <family val="2"/>
    </font>
    <font>
      <sz val="10.5"/>
      <color rgb="FF000000"/>
      <name val="Arial"/>
      <family val="0"/>
      <charset val="1"/>
    </font>
  </fonts>
  <fills count="11">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F2F2F2"/>
        <bgColor rgb="FFF9F9F9"/>
      </patternFill>
    </fill>
    <fill>
      <patternFill patternType="solid">
        <fgColor rgb="FF375623"/>
        <bgColor rgb="FF404040"/>
      </patternFill>
    </fill>
    <fill>
      <patternFill patternType="solid">
        <fgColor rgb="FFE2EFDA"/>
        <bgColor rgb="FFF2F2F2"/>
      </patternFill>
    </fill>
    <fill>
      <patternFill patternType="solid">
        <fgColor rgb="FF5B2C6F"/>
        <bgColor rgb="FF404040"/>
      </patternFill>
    </fill>
    <fill>
      <patternFill patternType="solid">
        <fgColor rgb="FFE8DAEF"/>
        <bgColor rgb="FFD6E0F0"/>
      </patternFill>
    </fill>
    <fill>
      <patternFill patternType="solid">
        <fgColor rgb="FFFFFFFF"/>
        <bgColor rgb="FFF9F9F9"/>
      </patternFill>
    </fill>
    <fill>
      <patternFill patternType="solid">
        <fgColor rgb="FFD6E0F0"/>
        <bgColor rgb="FFD9D9D9"/>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3" borderId="2" xfId="0" applyFont="true" applyBorder="true" applyAlignment="true" applyProtection="false">
      <alignment horizontal="left" vertical="center" textRotation="0" wrapText="fals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4" fillId="9" borderId="2" xfId="0" applyFont="true" applyBorder="true" applyAlignment="true" applyProtection="false">
      <alignment horizontal="left" vertical="center" textRotation="0" wrapText="fals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5" fontId="14" fillId="9" borderId="2" xfId="0" applyFont="true" applyBorder="true" applyAlignment="true" applyProtection="false">
      <alignment horizontal="center" vertical="center" textRotation="0" wrapText="false" indent="0" shrinkToFit="false"/>
      <protection locked="true" hidden="false"/>
    </xf>
    <xf numFmtId="166" fontId="15" fillId="9" borderId="2" xfId="0" applyFont="true" applyBorder="true" applyAlignment="true" applyProtection="false">
      <alignment horizontal="center" vertical="center" textRotation="0" wrapText="false" indent="0" shrinkToFit="false"/>
      <protection locked="true" hidden="false"/>
    </xf>
    <xf numFmtId="164" fontId="14" fillId="4" borderId="2" xfId="0" applyFont="true" applyBorder="true" applyAlignment="true" applyProtection="false">
      <alignment horizontal="left" vertical="center" textRotation="0" wrapText="false" indent="0" shrinkToFit="false"/>
      <protection locked="true" hidden="false"/>
    </xf>
    <xf numFmtId="164" fontId="14" fillId="4" borderId="2" xfId="0" applyFont="true" applyBorder="true" applyAlignment="true" applyProtection="false">
      <alignment horizontal="center" vertical="center" textRotation="0" wrapText="false" indent="0" shrinkToFit="false"/>
      <protection locked="true" hidden="false"/>
    </xf>
    <xf numFmtId="165" fontId="14" fillId="4" borderId="2" xfId="0" applyFont="true" applyBorder="true" applyAlignment="true" applyProtection="false">
      <alignment horizontal="center" vertical="center" textRotation="0" wrapText="false" indent="0" shrinkToFit="false"/>
      <protection locked="true" hidden="false"/>
    </xf>
    <xf numFmtId="166" fontId="15" fillId="4"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left" vertical="center" textRotation="0" wrapText="false" indent="0" shrinkToFit="false"/>
      <protection locked="true" hidden="false"/>
    </xf>
    <xf numFmtId="167" fontId="16"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7" fontId="16"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3" fillId="3" borderId="0" xfId="0" applyFont="true" applyBorder="true" applyAlignment="true" applyProtection="false">
      <alignment horizontal="left" vertical="center" textRotation="0" wrapText="false" indent="0" shrinkToFit="false"/>
      <protection locked="true" hidden="false"/>
    </xf>
    <xf numFmtId="164" fontId="18" fillId="3"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6" fontId="7" fillId="9" borderId="2" xfId="0" applyFont="true" applyBorder="true" applyAlignment="true" applyProtection="false">
      <alignment horizontal="center" vertical="center" textRotation="0" wrapText="false" indent="0" shrinkToFit="false"/>
      <protection locked="true" hidden="false"/>
    </xf>
    <xf numFmtId="165" fontId="7" fillId="9" borderId="2" xfId="0" applyFont="true" applyBorder="true" applyAlignment="true" applyProtection="false">
      <alignment horizontal="center" vertical="center" textRotation="0" wrapText="false" indent="0" shrinkToFit="false"/>
      <protection locked="true" hidden="false"/>
    </xf>
    <xf numFmtId="168" fontId="7" fillId="9" borderId="2" xfId="0" applyFont="true" applyBorder="true" applyAlignment="true" applyProtection="false">
      <alignment horizontal="center" vertical="center" textRotation="0" wrapText="false" indent="0" shrinkToFit="false"/>
      <protection locked="true" hidden="false"/>
    </xf>
    <xf numFmtId="169" fontId="7" fillId="9"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6" fontId="7" fillId="4" borderId="2" xfId="0" applyFont="true" applyBorder="true" applyAlignment="true" applyProtection="false">
      <alignment horizontal="center" vertical="center" textRotation="0" wrapText="false" indent="0" shrinkToFit="false"/>
      <protection locked="true" hidden="false"/>
    </xf>
    <xf numFmtId="165" fontId="7" fillId="4" borderId="2" xfId="0" applyFont="true" applyBorder="true" applyAlignment="true" applyProtection="false">
      <alignment horizontal="center" vertical="center" textRotation="0" wrapText="false" indent="0" shrinkToFit="false"/>
      <protection locked="true" hidden="false"/>
    </xf>
    <xf numFmtId="168" fontId="7" fillId="4" borderId="2" xfId="0" applyFont="true" applyBorder="true" applyAlignment="true" applyProtection="false">
      <alignment horizontal="center" vertical="center" textRotation="0" wrapText="false" indent="0" shrinkToFit="false"/>
      <protection locked="true" hidden="false"/>
    </xf>
    <xf numFmtId="169" fontId="7" fillId="4" borderId="2" xfId="0" applyFont="true" applyBorder="true" applyAlignment="true" applyProtection="false">
      <alignment horizontal="center" vertical="center" textRotation="0" wrapText="false" indent="0" shrinkToFit="false"/>
      <protection locked="true" hidden="false"/>
    </xf>
    <xf numFmtId="170" fontId="7" fillId="9" borderId="2" xfId="0" applyFont="true" applyBorder="true" applyAlignment="true" applyProtection="false">
      <alignment horizontal="center" vertical="center" textRotation="0" wrapText="false" indent="0" shrinkToFit="false"/>
      <protection locked="true" hidden="false"/>
    </xf>
    <xf numFmtId="171" fontId="6" fillId="10" borderId="2" xfId="0" applyFont="true" applyBorder="true" applyAlignment="true" applyProtection="false">
      <alignment horizontal="center" vertical="center" textRotation="0" wrapText="false" indent="0" shrinkToFit="false"/>
      <protection locked="true" hidden="false"/>
    </xf>
    <xf numFmtId="165" fontId="19" fillId="9" borderId="2" xfId="0" applyFont="true" applyBorder="true" applyAlignment="true" applyProtection="false">
      <alignment horizontal="center" vertical="center" textRotation="0" wrapText="false" indent="0" shrinkToFit="false"/>
      <protection locked="true" hidden="false"/>
    </xf>
    <xf numFmtId="170" fontId="7" fillId="4" borderId="2" xfId="0" applyFont="true" applyBorder="true" applyAlignment="true" applyProtection="false">
      <alignment horizontal="center" vertical="center" textRotation="0" wrapText="false" indent="0" shrinkToFit="false"/>
      <protection locked="true" hidden="false"/>
    </xf>
    <xf numFmtId="165" fontId="19" fillId="4" borderId="2" xfId="0" applyFont="true" applyBorder="true" applyAlignment="true" applyProtection="false">
      <alignment horizontal="center" vertical="center" textRotation="0" wrapText="false" indent="0" shrinkToFit="false"/>
      <protection locked="true" hidden="false"/>
    </xf>
    <xf numFmtId="164" fontId="13" fillId="5" borderId="0" xfId="0" applyFont="true" applyBorder="true" applyAlignment="true" applyProtection="false">
      <alignment horizontal="left" vertical="center" textRotation="0" wrapText="false" indent="0" shrinkToFit="false"/>
      <protection locked="true" hidden="false"/>
    </xf>
    <xf numFmtId="164" fontId="18" fillId="5" borderId="2" xfId="0" applyFont="true" applyBorder="true" applyAlignment="true" applyProtection="false">
      <alignment horizontal="center" vertical="center" textRotation="0" wrapText="false" indent="0" shrinkToFit="false"/>
      <protection locked="true" hidden="false"/>
    </xf>
    <xf numFmtId="171" fontId="20" fillId="6"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8" fontId="7" fillId="6" borderId="2" xfId="0" applyFont="true" applyBorder="true" applyAlignment="true" applyProtection="false">
      <alignment horizontal="center" vertical="center" textRotation="0" wrapText="false" indent="0" shrinkToFit="false"/>
      <protection locked="true" hidden="false"/>
    </xf>
    <xf numFmtId="169" fontId="7" fillId="6" borderId="2" xfId="0" applyFont="true" applyBorder="true" applyAlignment="true" applyProtection="false">
      <alignment horizontal="center" vertical="center" textRotation="0" wrapText="false" indent="0" shrinkToFit="false"/>
      <protection locked="true" hidden="false"/>
    </xf>
    <xf numFmtId="170" fontId="7" fillId="6" borderId="2" xfId="0" applyFont="true" applyBorder="true" applyAlignment="true" applyProtection="false">
      <alignment horizontal="center" vertical="center" textRotation="0" wrapText="false" indent="0" shrinkToFit="false"/>
      <protection locked="true" hidden="false"/>
    </xf>
    <xf numFmtId="165" fontId="19" fillId="6" borderId="2" xfId="0" applyFont="true" applyBorder="true" applyAlignment="true" applyProtection="false">
      <alignment horizontal="center" vertical="center" textRotation="0" wrapText="false" indent="0" shrinkToFit="false"/>
      <protection locked="true" hidden="false"/>
    </xf>
    <xf numFmtId="164" fontId="13" fillId="7" borderId="0" xfId="0" applyFont="true" applyBorder="true" applyAlignment="true" applyProtection="false">
      <alignment horizontal="left" vertical="center" textRotation="0" wrapText="false" indent="0" shrinkToFit="false"/>
      <protection locked="true" hidden="false"/>
    </xf>
    <xf numFmtId="164" fontId="18" fillId="7" borderId="2" xfId="0" applyFont="true" applyBorder="true" applyAlignment="true" applyProtection="false">
      <alignment horizontal="center" vertical="center" textRotation="0" wrapText="false" indent="0" shrinkToFit="false"/>
      <protection locked="true" hidden="false"/>
    </xf>
    <xf numFmtId="172" fontId="19" fillId="9"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5" fontId="7" fillId="8" borderId="2" xfId="0" applyFont="true" applyBorder="true" applyAlignment="true" applyProtection="false">
      <alignment horizontal="center" vertical="center" textRotation="0" wrapText="false" indent="0" shrinkToFit="false"/>
      <protection locked="true" hidden="false"/>
    </xf>
    <xf numFmtId="172" fontId="19" fillId="8" borderId="2"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true" applyAlignment="true" applyProtection="false">
      <alignment horizontal="left" vertical="center" textRotation="0" wrapText="false" indent="0" shrinkToFit="false"/>
      <protection locked="true" hidden="false"/>
    </xf>
    <xf numFmtId="164" fontId="22" fillId="3"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1" fillId="7" borderId="0" xfId="0" applyFont="true" applyBorder="false" applyAlignment="true" applyProtection="false">
      <alignment horizontal="left" vertical="center" textRotation="0" wrapText="false" indent="0" shrinkToFit="false"/>
      <protection locked="true" hidden="false"/>
    </xf>
    <xf numFmtId="164" fontId="8" fillId="7" borderId="0" xfId="0" applyFont="true" applyBorder="false" applyAlignment="true" applyProtection="false">
      <alignment horizontal="left" vertical="center" textRotation="0" wrapText="false" indent="0" shrinkToFit="false"/>
      <protection locked="true" hidden="false"/>
    </xf>
    <xf numFmtId="164" fontId="27" fillId="8" borderId="0" xfId="0" applyFont="true" applyBorder="false" applyAlignment="true" applyProtection="false">
      <alignment horizontal="left" vertical="center" textRotation="0" wrapText="true" indent="0" shrinkToFit="false"/>
      <protection locked="true" hidden="false"/>
    </xf>
    <xf numFmtId="164" fontId="27" fillId="9" borderId="0" xfId="0" applyFont="true" applyBorder="false" applyAlignment="true" applyProtection="false">
      <alignment horizontal="left" vertical="center" textRotation="0" wrapText="tru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27" fillId="4"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9F9F9"/>
      <rgbColor rgb="FFF2F2F2"/>
      <rgbColor rgb="FF5B2C6F"/>
      <rgbColor rgb="FFFF8080"/>
      <rgbColor rgb="FF0066CC"/>
      <rgbColor rgb="FFD6E0F0"/>
      <rgbColor rgb="FF000080"/>
      <rgbColor rgb="FFFF00FF"/>
      <rgbColor rgb="FFFFFF00"/>
      <rgbColor rgb="FF00FFFF"/>
      <rgbColor rgb="FF800080"/>
      <rgbColor rgb="FF800000"/>
      <rgbColor rgb="FF008080"/>
      <rgbColor rgb="FF0000FF"/>
      <rgbColor rgb="FF00CCFF"/>
      <rgbColor rgb="FFE8DAEF"/>
      <rgbColor rgb="FFE2EFDA"/>
      <rgbColor rgb="FFFFFF99"/>
      <rgbColor rgb="FF99CCFF"/>
      <rgbColor rgb="FFFF99CC"/>
      <rgbColor rgb="FFCC99FF"/>
      <rgbColor rgb="FFD9D9D9"/>
      <rgbColor rgb="FF4F81BD"/>
      <rgbColor rgb="FF33CCCC"/>
      <rgbColor rgb="FF99CC00"/>
      <rgbColor rgb="FFFFCC00"/>
      <rgbColor rgb="FFFF9900"/>
      <rgbColor rgb="FFFF6600"/>
      <rgbColor rgb="FF595959"/>
      <rgbColor rgb="FF878787"/>
      <rgbColor rgb="FF1F3864"/>
      <rgbColor rgb="FF339966"/>
      <rgbColor rgb="FF003300"/>
      <rgbColor rgb="FF375623"/>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Education up, child deaths down (official, r = -0.73)</a:t>
            </a:r>
          </a:p>
        </c:rich>
      </c:tx>
      <c:overlay val="0"/>
      <c:spPr>
        <a:noFill/>
        <a:ln w="0">
          <a:noFill/>
        </a:ln>
      </c:spPr>
    </c:title>
    <c:autoTitleDeleted val="0"/>
    <c:plotArea>
      <c:scatterChart>
        <c:scatterStyle val="lineMarker"/>
        <c:varyColors val="0"/>
        <c:ser>
          <c:idx val="0"/>
          <c:order val="0"/>
          <c:tx>
            <c:strRef>
              <c:f>"Bangladesh"</c:f>
              <c:strCache>
                <c:ptCount val="1"/>
                <c:pt idx="0">
                  <c:v>Bangladesh</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Data!$E$5:$E$28</c:f>
              <c:numCache>
                <c:formatCode>0.0</c:formatCode>
                <c:ptCount val="24"/>
                <c:pt idx="5">
                  <c:v>93.69</c:v>
                </c:pt>
                <c:pt idx="6">
                  <c:v>93.43</c:v>
                </c:pt>
                <c:pt idx="8">
                  <c:v>92.57</c:v>
                </c:pt>
                <c:pt idx="9">
                  <c:v>92.54</c:v>
                </c:pt>
                <c:pt idx="10">
                  <c:v>90.53</c:v>
                </c:pt>
              </c:numCache>
            </c:numRef>
          </c:xVal>
          <c:yVal>
            <c:numRef>
              <c:f>Data!$F$5:$F$28</c:f>
              <c:numCache>
                <c:formatCode>0.0</c:formatCode>
                <c:ptCount val="24"/>
                <c:pt idx="0">
                  <c:v>85.45</c:v>
                </c:pt>
                <c:pt idx="1">
                  <c:v>80.14</c:v>
                </c:pt>
                <c:pt idx="2">
                  <c:v>75.25</c:v>
                </c:pt>
                <c:pt idx="3">
                  <c:v>70.78</c:v>
                </c:pt>
                <c:pt idx="4">
                  <c:v>66.7</c:v>
                </c:pt>
                <c:pt idx="5">
                  <c:v>62.97</c:v>
                </c:pt>
                <c:pt idx="6">
                  <c:v>59.54</c:v>
                </c:pt>
                <c:pt idx="7">
                  <c:v>56.43</c:v>
                </c:pt>
                <c:pt idx="8">
                  <c:v>53.59</c:v>
                </c:pt>
                <c:pt idx="9">
                  <c:v>51</c:v>
                </c:pt>
                <c:pt idx="10">
                  <c:v>48.65</c:v>
                </c:pt>
                <c:pt idx="11">
                  <c:v>46.48</c:v>
                </c:pt>
                <c:pt idx="12">
                  <c:v>44.4</c:v>
                </c:pt>
                <c:pt idx="13">
                  <c:v>42.4</c:v>
                </c:pt>
                <c:pt idx="14">
                  <c:v>40.42</c:v>
                </c:pt>
                <c:pt idx="15">
                  <c:v>38.5</c:v>
                </c:pt>
                <c:pt idx="16">
                  <c:v>36.63</c:v>
                </c:pt>
                <c:pt idx="17">
                  <c:v>34.92</c:v>
                </c:pt>
                <c:pt idx="18">
                  <c:v>33.43</c:v>
                </c:pt>
                <c:pt idx="19">
                  <c:v>32.25</c:v>
                </c:pt>
                <c:pt idx="20">
                  <c:v>31.4</c:v>
                </c:pt>
                <c:pt idx="21">
                  <c:v>30.87</c:v>
                </c:pt>
                <c:pt idx="22">
                  <c:v>30.62</c:v>
                </c:pt>
                <c:pt idx="23">
                  <c:v>30.56</c:v>
                </c:pt>
              </c:numCache>
            </c:numRef>
          </c:yVal>
          <c:smooth val="1"/>
        </c:ser>
        <c:ser>
          <c:idx val="1"/>
          <c:order val="1"/>
          <c:tx>
            <c:strRef>
              <c:f>"Ethiopia"</c:f>
              <c:strCache>
                <c:ptCount val="1"/>
                <c:pt idx="0">
                  <c:v>Ethiopia</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Data!$E$29:$E$52</c:f>
              <c:numCache>
                <c:formatCode>0.0</c:formatCode>
                <c:ptCount val="24"/>
                <c:pt idx="0">
                  <c:v>40.17</c:v>
                </c:pt>
                <c:pt idx="1">
                  <c:v>43.94</c:v>
                </c:pt>
                <c:pt idx="2">
                  <c:v>46.06</c:v>
                </c:pt>
                <c:pt idx="3">
                  <c:v>46.78</c:v>
                </c:pt>
                <c:pt idx="4">
                  <c:v>49.58</c:v>
                </c:pt>
                <c:pt idx="5">
                  <c:v>60.39</c:v>
                </c:pt>
                <c:pt idx="6">
                  <c:v>65.01</c:v>
                </c:pt>
                <c:pt idx="7">
                  <c:v>70.07</c:v>
                </c:pt>
                <c:pt idx="8">
                  <c:v>75.78</c:v>
                </c:pt>
                <c:pt idx="9">
                  <c:v>75.36</c:v>
                </c:pt>
                <c:pt idx="10">
                  <c:v>73.35</c:v>
                </c:pt>
                <c:pt idx="11">
                  <c:v>77.23</c:v>
                </c:pt>
                <c:pt idx="12">
                  <c:v>78.49</c:v>
                </c:pt>
                <c:pt idx="14">
                  <c:v>85.1</c:v>
                </c:pt>
                <c:pt idx="15">
                  <c:v>84.62</c:v>
                </c:pt>
              </c:numCache>
            </c:numRef>
          </c:xVal>
          <c:yVal>
            <c:numRef>
              <c:f>Data!$F$29:$F$52</c:f>
              <c:numCache>
                <c:formatCode>0.0</c:formatCode>
                <c:ptCount val="24"/>
                <c:pt idx="0">
                  <c:v>139.93</c:v>
                </c:pt>
                <c:pt idx="1">
                  <c:v>133.63</c:v>
                </c:pt>
                <c:pt idx="2">
                  <c:v>127.26</c:v>
                </c:pt>
                <c:pt idx="3">
                  <c:v>120.85</c:v>
                </c:pt>
                <c:pt idx="4">
                  <c:v>114.4</c:v>
                </c:pt>
                <c:pt idx="5">
                  <c:v>108.18</c:v>
                </c:pt>
                <c:pt idx="6">
                  <c:v>102.26</c:v>
                </c:pt>
                <c:pt idx="7">
                  <c:v>96.75</c:v>
                </c:pt>
                <c:pt idx="8">
                  <c:v>91.65</c:v>
                </c:pt>
                <c:pt idx="9">
                  <c:v>86.92</c:v>
                </c:pt>
                <c:pt idx="10">
                  <c:v>82.54</c:v>
                </c:pt>
                <c:pt idx="11">
                  <c:v>78.47</c:v>
                </c:pt>
                <c:pt idx="12">
                  <c:v>74.64</c:v>
                </c:pt>
                <c:pt idx="13">
                  <c:v>71.02</c:v>
                </c:pt>
                <c:pt idx="14">
                  <c:v>67.56</c:v>
                </c:pt>
                <c:pt idx="15">
                  <c:v>64.27</c:v>
                </c:pt>
                <c:pt idx="16">
                  <c:v>61.16</c:v>
                </c:pt>
                <c:pt idx="17">
                  <c:v>58.3</c:v>
                </c:pt>
                <c:pt idx="18">
                  <c:v>55.72</c:v>
                </c:pt>
                <c:pt idx="19">
                  <c:v>53.46</c:v>
                </c:pt>
                <c:pt idx="20">
                  <c:v>51.43</c:v>
                </c:pt>
                <c:pt idx="21">
                  <c:v>70.26</c:v>
                </c:pt>
                <c:pt idx="22">
                  <c:v>67.98</c:v>
                </c:pt>
                <c:pt idx="23">
                  <c:v>51.4</c:v>
                </c:pt>
              </c:numCache>
            </c:numRef>
          </c:yVal>
          <c:smooth val="1"/>
        </c:ser>
        <c:ser>
          <c:idx val="2"/>
          <c:order val="2"/>
          <c:tx>
            <c:strRef>
              <c:f>"Ghana"</c:f>
              <c:strCache>
                <c:ptCount val="1"/>
                <c:pt idx="0">
                  <c:v>Ghana</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Data!$E$53:$E$76</c:f>
              <c:numCache>
                <c:formatCode>0.0</c:formatCode>
                <c:ptCount val="24"/>
                <c:pt idx="0">
                  <c:v>62.48</c:v>
                </c:pt>
                <c:pt idx="1">
                  <c:v>57.35</c:v>
                </c:pt>
                <c:pt idx="2">
                  <c:v>59.9</c:v>
                </c:pt>
                <c:pt idx="3">
                  <c:v>59.57</c:v>
                </c:pt>
                <c:pt idx="5">
                  <c:v>63.71</c:v>
                </c:pt>
                <c:pt idx="6">
                  <c:v>62.81</c:v>
                </c:pt>
                <c:pt idx="7">
                  <c:v>68.15</c:v>
                </c:pt>
                <c:pt idx="8">
                  <c:v>73.32</c:v>
                </c:pt>
                <c:pt idx="9">
                  <c:v>72.36</c:v>
                </c:pt>
                <c:pt idx="11">
                  <c:v>80.59</c:v>
                </c:pt>
                <c:pt idx="12">
                  <c:v>79.39</c:v>
                </c:pt>
                <c:pt idx="13">
                  <c:v>84.93</c:v>
                </c:pt>
                <c:pt idx="14">
                  <c:v>86.99</c:v>
                </c:pt>
                <c:pt idx="15">
                  <c:v>89.29</c:v>
                </c:pt>
                <c:pt idx="16">
                  <c:v>86.38</c:v>
                </c:pt>
                <c:pt idx="17">
                  <c:v>85.18</c:v>
                </c:pt>
                <c:pt idx="18">
                  <c:v>84.48</c:v>
                </c:pt>
                <c:pt idx="19">
                  <c:v>86.16</c:v>
                </c:pt>
              </c:numCache>
            </c:numRef>
          </c:xVal>
          <c:yVal>
            <c:numRef>
              <c:f>Data!$F$53:$F$76</c:f>
              <c:numCache>
                <c:formatCode>0.0</c:formatCode>
                <c:ptCount val="24"/>
                <c:pt idx="0">
                  <c:v>99.81</c:v>
                </c:pt>
                <c:pt idx="1">
                  <c:v>95.69</c:v>
                </c:pt>
                <c:pt idx="2">
                  <c:v>91.75</c:v>
                </c:pt>
                <c:pt idx="3">
                  <c:v>88.14</c:v>
                </c:pt>
                <c:pt idx="4">
                  <c:v>84.85</c:v>
                </c:pt>
                <c:pt idx="5">
                  <c:v>81.9</c:v>
                </c:pt>
                <c:pt idx="6">
                  <c:v>79.02</c:v>
                </c:pt>
                <c:pt idx="7">
                  <c:v>76.05</c:v>
                </c:pt>
                <c:pt idx="8">
                  <c:v>72.95</c:v>
                </c:pt>
                <c:pt idx="9">
                  <c:v>69.7</c:v>
                </c:pt>
                <c:pt idx="10">
                  <c:v>66.41</c:v>
                </c:pt>
                <c:pt idx="11">
                  <c:v>63.2</c:v>
                </c:pt>
                <c:pt idx="12">
                  <c:v>60.16</c:v>
                </c:pt>
                <c:pt idx="13">
                  <c:v>57.38</c:v>
                </c:pt>
                <c:pt idx="14">
                  <c:v>54.82</c:v>
                </c:pt>
                <c:pt idx="15">
                  <c:v>52.45</c:v>
                </c:pt>
                <c:pt idx="16">
                  <c:v>50.24</c:v>
                </c:pt>
                <c:pt idx="17">
                  <c:v>48.11</c:v>
                </c:pt>
                <c:pt idx="18">
                  <c:v>46.03</c:v>
                </c:pt>
                <c:pt idx="19">
                  <c:v>44.01</c:v>
                </c:pt>
                <c:pt idx="20">
                  <c:v>42.05</c:v>
                </c:pt>
                <c:pt idx="21">
                  <c:v>40.23</c:v>
                </c:pt>
                <c:pt idx="22">
                  <c:v>38.58</c:v>
                </c:pt>
                <c:pt idx="23">
                  <c:v>37.13</c:v>
                </c:pt>
              </c:numCache>
            </c:numRef>
          </c:yVal>
          <c:smooth val="1"/>
        </c:ser>
        <c:ser>
          <c:idx val="3"/>
          <c:order val="3"/>
          <c:tx>
            <c:strRef>
              <c:f>"India"</c:f>
              <c:strCache>
                <c:ptCount val="1"/>
                <c:pt idx="0">
                  <c:v>India</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Data!$E$77:$E$100</c:f>
              <c:numCache>
                <c:formatCode>0.0</c:formatCode>
                <c:ptCount val="24"/>
                <c:pt idx="0">
                  <c:v>79.51</c:v>
                </c:pt>
                <c:pt idx="1">
                  <c:v>79.38</c:v>
                </c:pt>
                <c:pt idx="2">
                  <c:v>79</c:v>
                </c:pt>
                <c:pt idx="3">
                  <c:v>83.57</c:v>
                </c:pt>
                <c:pt idx="7">
                  <c:v>91.12</c:v>
                </c:pt>
                <c:pt idx="8">
                  <c:v>90.87</c:v>
                </c:pt>
                <c:pt idx="9">
                  <c:v>90.65</c:v>
                </c:pt>
                <c:pt idx="10">
                  <c:v>90.96</c:v>
                </c:pt>
                <c:pt idx="11">
                  <c:v>90.37</c:v>
                </c:pt>
                <c:pt idx="12">
                  <c:v>91.57</c:v>
                </c:pt>
                <c:pt idx="13">
                  <c:v>92.26</c:v>
                </c:pt>
              </c:numCache>
            </c:numRef>
          </c:xVal>
          <c:yVal>
            <c:numRef>
              <c:f>Data!$F$77:$F$100</c:f>
              <c:numCache>
                <c:formatCode>0.0</c:formatCode>
                <c:ptCount val="24"/>
                <c:pt idx="0">
                  <c:v>91.84</c:v>
                </c:pt>
                <c:pt idx="1">
                  <c:v>88.22</c:v>
                </c:pt>
                <c:pt idx="2">
                  <c:v>84.66</c:v>
                </c:pt>
                <c:pt idx="3">
                  <c:v>81.18</c:v>
                </c:pt>
                <c:pt idx="4">
                  <c:v>77.76</c:v>
                </c:pt>
                <c:pt idx="5">
                  <c:v>74.41</c:v>
                </c:pt>
                <c:pt idx="6">
                  <c:v>71.09</c:v>
                </c:pt>
                <c:pt idx="7">
                  <c:v>67.81</c:v>
                </c:pt>
                <c:pt idx="8">
                  <c:v>64.52</c:v>
                </c:pt>
                <c:pt idx="9">
                  <c:v>61.29</c:v>
                </c:pt>
                <c:pt idx="10">
                  <c:v>58.12</c:v>
                </c:pt>
                <c:pt idx="11">
                  <c:v>55.02</c:v>
                </c:pt>
                <c:pt idx="12">
                  <c:v>52.01</c:v>
                </c:pt>
                <c:pt idx="13">
                  <c:v>49.12</c:v>
                </c:pt>
                <c:pt idx="14">
                  <c:v>46.36</c:v>
                </c:pt>
                <c:pt idx="15">
                  <c:v>43.76</c:v>
                </c:pt>
                <c:pt idx="16">
                  <c:v>41.32</c:v>
                </c:pt>
                <c:pt idx="17">
                  <c:v>39.03</c:v>
                </c:pt>
                <c:pt idx="18">
                  <c:v>36.87</c:v>
                </c:pt>
                <c:pt idx="19">
                  <c:v>34.87</c:v>
                </c:pt>
                <c:pt idx="20">
                  <c:v>32.98</c:v>
                </c:pt>
                <c:pt idx="21">
                  <c:v>31.2</c:v>
                </c:pt>
                <c:pt idx="22">
                  <c:v>29.54</c:v>
                </c:pt>
                <c:pt idx="23">
                  <c:v>27.99</c:v>
                </c:pt>
              </c:numCache>
            </c:numRef>
          </c:yVal>
          <c:smooth val="1"/>
        </c:ser>
        <c:ser>
          <c:idx val="4"/>
          <c:order val="4"/>
          <c:tx>
            <c:strRef>
              <c:f>"Nigeria"</c:f>
              <c:strCache>
                <c:ptCount val="1"/>
                <c:pt idx="0">
                  <c:v>Nigeria</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Data!$E$101:$E$124</c:f>
              <c:numCache>
                <c:formatCode>0.0</c:formatCode>
                <c:ptCount val="24"/>
                <c:pt idx="0">
                  <c:v>65.09</c:v>
                </c:pt>
                <c:pt idx="4">
                  <c:v>66.4</c:v>
                </c:pt>
                <c:pt idx="5">
                  <c:v>66.85</c:v>
                </c:pt>
                <c:pt idx="6">
                  <c:v>67.34</c:v>
                </c:pt>
                <c:pt idx="7">
                  <c:v>70.31</c:v>
                </c:pt>
                <c:pt idx="8">
                  <c:v>63.4</c:v>
                </c:pt>
                <c:pt idx="9">
                  <c:v>64.34</c:v>
                </c:pt>
                <c:pt idx="10">
                  <c:v>64.14</c:v>
                </c:pt>
              </c:numCache>
            </c:numRef>
          </c:xVal>
          <c:yVal>
            <c:numRef>
              <c:f>Data!$F$101:$F$124</c:f>
              <c:numCache>
                <c:formatCode>0.0</c:formatCode>
                <c:ptCount val="24"/>
                <c:pt idx="0">
                  <c:v>177.14</c:v>
                </c:pt>
                <c:pt idx="1">
                  <c:v>170.41</c:v>
                </c:pt>
                <c:pt idx="2">
                  <c:v>163.75</c:v>
                </c:pt>
                <c:pt idx="3">
                  <c:v>157.28</c:v>
                </c:pt>
                <c:pt idx="4">
                  <c:v>151.25</c:v>
                </c:pt>
                <c:pt idx="5">
                  <c:v>145.74</c:v>
                </c:pt>
                <c:pt idx="6">
                  <c:v>140.72</c:v>
                </c:pt>
                <c:pt idx="7">
                  <c:v>136.32</c:v>
                </c:pt>
                <c:pt idx="8">
                  <c:v>132.46</c:v>
                </c:pt>
                <c:pt idx="9">
                  <c:v>129.11</c:v>
                </c:pt>
                <c:pt idx="10">
                  <c:v>126.22</c:v>
                </c:pt>
                <c:pt idx="11">
                  <c:v>123.7</c:v>
                </c:pt>
                <c:pt idx="12">
                  <c:v>121.54</c:v>
                </c:pt>
                <c:pt idx="13">
                  <c:v>119.84</c:v>
                </c:pt>
                <c:pt idx="14">
                  <c:v>118.57</c:v>
                </c:pt>
                <c:pt idx="15">
                  <c:v>117.72</c:v>
                </c:pt>
                <c:pt idx="16">
                  <c:v>117.26</c:v>
                </c:pt>
                <c:pt idx="17">
                  <c:v>117.07</c:v>
                </c:pt>
                <c:pt idx="18">
                  <c:v>117.09</c:v>
                </c:pt>
                <c:pt idx="19">
                  <c:v>117.22</c:v>
                </c:pt>
                <c:pt idx="20">
                  <c:v>117.3</c:v>
                </c:pt>
                <c:pt idx="21">
                  <c:v>117.41</c:v>
                </c:pt>
                <c:pt idx="22">
                  <c:v>117.31</c:v>
                </c:pt>
                <c:pt idx="23">
                  <c:v>116.74</c:v>
                </c:pt>
              </c:numCache>
            </c:numRef>
          </c:yVal>
          <c:smooth val="1"/>
        </c:ser>
        <c:ser>
          <c:idx val="5"/>
          <c:order val="5"/>
          <c:tx>
            <c:strRef>
              <c:f>"Rwanda"</c:f>
              <c:strCache>
                <c:ptCount val="1"/>
                <c:pt idx="0">
                  <c:v>Rwanda</c:v>
                </c:pt>
              </c:strCache>
            </c:strRef>
          </c:tx>
          <c:spPr>
            <a:solidFill>
              <a:srgbClr val="ffffff"/>
            </a:solidFill>
            <a:ln w="28440">
              <a:noFill/>
            </a:ln>
          </c:spPr>
          <c:marker>
            <c:symbol val="circle"/>
            <c:size val="7"/>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Data!$E$125:$E$148</c:f>
              <c:numCache>
                <c:formatCode>0.0</c:formatCode>
                <c:ptCount val="24"/>
                <c:pt idx="2">
                  <c:v>81.18</c:v>
                </c:pt>
                <c:pt idx="3">
                  <c:v>85.5</c:v>
                </c:pt>
                <c:pt idx="16">
                  <c:v>98.84</c:v>
                </c:pt>
                <c:pt idx="17">
                  <c:v>96.93</c:v>
                </c:pt>
                <c:pt idx="18">
                  <c:v>94.79</c:v>
                </c:pt>
              </c:numCache>
            </c:numRef>
          </c:xVal>
          <c:yVal>
            <c:numRef>
              <c:f>Data!$F$125:$F$148</c:f>
              <c:numCache>
                <c:formatCode>0.0</c:formatCode>
                <c:ptCount val="24"/>
                <c:pt idx="0">
                  <c:v>184.03</c:v>
                </c:pt>
                <c:pt idx="1">
                  <c:v>166.45</c:v>
                </c:pt>
                <c:pt idx="2">
                  <c:v>148.96</c:v>
                </c:pt>
                <c:pt idx="3">
                  <c:v>132.62</c:v>
                </c:pt>
                <c:pt idx="4">
                  <c:v>117.42</c:v>
                </c:pt>
                <c:pt idx="5">
                  <c:v>104.35</c:v>
                </c:pt>
                <c:pt idx="6">
                  <c:v>93.27</c:v>
                </c:pt>
                <c:pt idx="7">
                  <c:v>84.03</c:v>
                </c:pt>
                <c:pt idx="8">
                  <c:v>75.93</c:v>
                </c:pt>
                <c:pt idx="9">
                  <c:v>69.05</c:v>
                </c:pt>
                <c:pt idx="10">
                  <c:v>63.21</c:v>
                </c:pt>
                <c:pt idx="11">
                  <c:v>58</c:v>
                </c:pt>
                <c:pt idx="12">
                  <c:v>54.21</c:v>
                </c:pt>
                <c:pt idx="13">
                  <c:v>51.35</c:v>
                </c:pt>
                <c:pt idx="14">
                  <c:v>49.09</c:v>
                </c:pt>
                <c:pt idx="15">
                  <c:v>47.21</c:v>
                </c:pt>
                <c:pt idx="16">
                  <c:v>45.71</c:v>
                </c:pt>
                <c:pt idx="17">
                  <c:v>44.61</c:v>
                </c:pt>
                <c:pt idx="18">
                  <c:v>43.61</c:v>
                </c:pt>
                <c:pt idx="19">
                  <c:v>42.6</c:v>
                </c:pt>
                <c:pt idx="20">
                  <c:v>41.53</c:v>
                </c:pt>
                <c:pt idx="21">
                  <c:v>40.51</c:v>
                </c:pt>
                <c:pt idx="22">
                  <c:v>39.62</c:v>
                </c:pt>
                <c:pt idx="23">
                  <c:v>38.73</c:v>
                </c:pt>
              </c:numCache>
            </c:numRef>
          </c:yVal>
          <c:smooth val="1"/>
        </c:ser>
        <c:axId val="27317817"/>
        <c:axId val="28836032"/>
      </c:scatterChart>
      <c:valAx>
        <c:axId val="27317817"/>
        <c:scaling>
          <c:orientation val="minMax"/>
          <c:max val="100"/>
          <c:min val="35"/>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Net primary enrollment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36032"/>
        <c:crosses val="autoZero"/>
        <c:crossBetween val="midCat"/>
      </c:valAx>
      <c:valAx>
        <c:axId val="28836032"/>
        <c:scaling>
          <c:orientation val="minMax"/>
          <c:max val="200"/>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Under-5 mortality (per 1,000)</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31781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Level Index vs Progress Index (official two-indicator version)</a:t>
            </a:r>
          </a:p>
        </c:rich>
      </c:tx>
      <c:overlay val="0"/>
      <c:spPr>
        <a:noFill/>
        <a:ln w="0">
          <a:noFill/>
        </a:ln>
      </c:spPr>
    </c:title>
    <c:autoTitleDeleted val="0"/>
    <c:plotArea>
      <c:barChart>
        <c:barDir val="col"/>
        <c:grouping val="clustered"/>
        <c:varyColors val="0"/>
        <c:ser>
          <c:idx val="0"/>
          <c:order val="0"/>
          <c:tx>
            <c:strRef>
              <c:f>"Level Index"</c:f>
              <c:strCache>
                <c:ptCount val="1"/>
                <c:pt idx="0">
                  <c:v>Level Index</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Composite!$B$15:$B$20</c:f>
              <c:strCache>
                <c:ptCount val="6"/>
                <c:pt idx="0">
                  <c:v>Bangladesh</c:v>
                </c:pt>
                <c:pt idx="1">
                  <c:v>Ethiopia</c:v>
                </c:pt>
                <c:pt idx="2">
                  <c:v>Ghana</c:v>
                </c:pt>
                <c:pt idx="3">
                  <c:v>India</c:v>
                </c:pt>
                <c:pt idx="4">
                  <c:v>Nigeria</c:v>
                </c:pt>
                <c:pt idx="5">
                  <c:v>Rwanda</c:v>
                </c:pt>
              </c:strCache>
            </c:strRef>
          </c:cat>
          <c:val>
            <c:numRef>
              <c:f>Composite!$G$15:$G$20</c:f>
              <c:numCache>
                <c:formatCode>0.000</c:formatCode>
                <c:ptCount val="6"/>
                <c:pt idx="0">
                  <c:v>0.916026836385359</c:v>
                </c:pt>
                <c:pt idx="1">
                  <c:v>0.702207292695816</c:v>
                </c:pt>
                <c:pt idx="2">
                  <c:v>0.807724007995772</c:v>
                </c:pt>
                <c:pt idx="3">
                  <c:v>0.958727569331158</c:v>
                </c:pt>
                <c:pt idx="4">
                  <c:v>0</c:v>
                </c:pt>
                <c:pt idx="5">
                  <c:v>0.939492957746479</c:v>
                </c:pt>
              </c:numCache>
            </c:numRef>
          </c:val>
        </c:ser>
        <c:ser>
          <c:idx val="1"/>
          <c:order val="1"/>
          <c:tx>
            <c:strRef>
              <c:f>"Progress Index"</c:f>
              <c:strCache>
                <c:ptCount val="1"/>
                <c:pt idx="0">
                  <c:v>Progress Index</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Composite!$B$15:$B$20</c:f>
              <c:strCache>
                <c:ptCount val="6"/>
                <c:pt idx="0">
                  <c:v>Bangladesh</c:v>
                </c:pt>
                <c:pt idx="1">
                  <c:v>Ethiopia</c:v>
                </c:pt>
                <c:pt idx="2">
                  <c:v>Ghana</c:v>
                </c:pt>
                <c:pt idx="3">
                  <c:v>India</c:v>
                </c:pt>
                <c:pt idx="4">
                  <c:v>Nigeria</c:v>
                </c:pt>
                <c:pt idx="5">
                  <c:v>Rwanda</c:v>
                </c:pt>
              </c:strCache>
            </c:strRef>
          </c:cat>
          <c:val>
            <c:numRef>
              <c:f>Composite!$G$24:$G$29</c:f>
              <c:numCache>
                <c:formatCode>0.000</c:formatCode>
                <c:ptCount val="6"/>
                <c:pt idx="0">
                  <c:v>0.335944679376069</c:v>
                </c:pt>
                <c:pt idx="1">
                  <c:v>0.825143205811411</c:v>
                </c:pt>
                <c:pt idx="2">
                  <c:v>0.581142131248489</c:v>
                </c:pt>
                <c:pt idx="3">
                  <c:v>0.619159131971424</c:v>
                </c:pt>
                <c:pt idx="4">
                  <c:v>0.0746801409234191</c:v>
                </c:pt>
                <c:pt idx="5">
                  <c:v>0.706187418876321</c:v>
                </c:pt>
              </c:numCache>
            </c:numRef>
          </c:val>
        </c:ser>
        <c:gapWidth val="150"/>
        <c:overlap val="0"/>
        <c:axId val="98124036"/>
        <c:axId val="4452050"/>
      </c:barChart>
      <c:catAx>
        <c:axId val="981240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Country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2050"/>
        <c:crosses val="autoZero"/>
        <c:auto val="1"/>
        <c:lblAlgn val="ctr"/>
        <c:lblOffset val="100"/>
        <c:noMultiLvlLbl val="0"/>
      </c:catAx>
      <c:valAx>
        <c:axId val="4452050"/>
        <c:scaling>
          <c:orientation val="minMax"/>
          <c:max val="1.1"/>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Composite index (0-1)</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1240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xdr:row>
      <xdr:rowOff>0</xdr:rowOff>
    </xdr:from>
    <xdr:to>
      <xdr:col>13</xdr:col>
      <xdr:colOff>221760</xdr:colOff>
      <xdr:row>21</xdr:row>
      <xdr:rowOff>181080</xdr:rowOff>
    </xdr:to>
    <xdr:graphicFrame>
      <xdr:nvGraphicFramePr>
        <xdr:cNvPr id="0" name="Chart 1"/>
        <xdr:cNvGraphicFramePr/>
      </xdr:nvGraphicFramePr>
      <xdr:xfrm>
        <a:off x="141120" y="990720"/>
        <a:ext cx="755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13</xdr:col>
      <xdr:colOff>221760</xdr:colOff>
      <xdr:row>42</xdr:row>
      <xdr:rowOff>181080</xdr:rowOff>
    </xdr:to>
    <xdr:graphicFrame>
      <xdr:nvGraphicFramePr>
        <xdr:cNvPr id="1" name="Chart 2"/>
        <xdr:cNvGraphicFramePr/>
      </xdr:nvGraphicFramePr>
      <xdr:xfrm>
        <a:off x="141120" y="5076720"/>
        <a:ext cx="755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8" min="2" style="0" width="15"/>
  </cols>
  <sheetData>
    <row r="2" customFormat="false" ht="33.75" hidden="false" customHeight="true" outlineLevel="0" collapsed="false">
      <c r="B2" s="1" t="s">
        <v>0</v>
      </c>
      <c r="C2" s="1"/>
      <c r="D2" s="1"/>
      <c r="E2" s="1"/>
      <c r="F2" s="1"/>
      <c r="G2" s="1"/>
      <c r="H2" s="1"/>
    </row>
    <row r="3" customFormat="false" ht="19.5" hidden="false" customHeight="true" outlineLevel="0" collapsed="false">
      <c r="B3" s="2" t="s">
        <v>1</v>
      </c>
      <c r="C3" s="2"/>
      <c r="D3" s="2"/>
      <c r="E3" s="2"/>
      <c r="F3" s="2"/>
      <c r="G3" s="2"/>
      <c r="H3" s="2"/>
    </row>
    <row r="5" customFormat="false" ht="18" hidden="false" customHeight="true" outlineLevel="0" collapsed="false">
      <c r="B5" s="3" t="s">
        <v>2</v>
      </c>
      <c r="C5" s="3"/>
      <c r="D5" s="4" t="s">
        <v>3</v>
      </c>
      <c r="E5" s="4"/>
      <c r="F5" s="4"/>
      <c r="G5" s="4"/>
      <c r="H5" s="4"/>
    </row>
    <row r="6" customFormat="false" ht="18" hidden="false" customHeight="true" outlineLevel="0" collapsed="false">
      <c r="B6" s="3" t="s">
        <v>4</v>
      </c>
      <c r="C6" s="3"/>
      <c r="D6" s="4" t="s">
        <v>5</v>
      </c>
      <c r="E6" s="4"/>
      <c r="F6" s="4"/>
      <c r="G6" s="4"/>
      <c r="H6" s="4"/>
    </row>
    <row r="7" customFormat="false" ht="18" hidden="false" customHeight="true" outlineLevel="0" collapsed="false">
      <c r="B7" s="3" t="s">
        <v>6</v>
      </c>
      <c r="C7" s="3"/>
      <c r="D7" s="4" t="s">
        <v>7</v>
      </c>
      <c r="E7" s="4"/>
      <c r="F7" s="4"/>
      <c r="G7" s="4"/>
      <c r="H7" s="4"/>
    </row>
    <row r="8" customFormat="false" ht="18" hidden="false" customHeight="true" outlineLevel="0" collapsed="false">
      <c r="B8" s="3" t="s">
        <v>8</v>
      </c>
      <c r="C8" s="3"/>
      <c r="D8" s="4" t="s">
        <v>9</v>
      </c>
      <c r="E8" s="4"/>
      <c r="F8" s="4"/>
      <c r="G8" s="4"/>
      <c r="H8" s="4"/>
    </row>
    <row r="9" customFormat="false" ht="18" hidden="false" customHeight="true" outlineLevel="0" collapsed="false">
      <c r="B9" s="3" t="s">
        <v>10</v>
      </c>
      <c r="C9" s="3"/>
      <c r="D9" s="4" t="s">
        <v>11</v>
      </c>
      <c r="E9" s="4"/>
      <c r="F9" s="4"/>
      <c r="G9" s="4"/>
      <c r="H9" s="4"/>
    </row>
    <row r="10" customFormat="false" ht="18" hidden="false" customHeight="true" outlineLevel="0" collapsed="false">
      <c r="B10" s="3" t="s">
        <v>12</v>
      </c>
      <c r="C10" s="3"/>
      <c r="D10" s="4" t="s">
        <v>13</v>
      </c>
      <c r="E10" s="4"/>
      <c r="F10" s="4"/>
      <c r="G10" s="4"/>
      <c r="H10" s="4"/>
    </row>
    <row r="11" customFormat="false" ht="18" hidden="false" customHeight="true" outlineLevel="0" collapsed="false">
      <c r="B11" s="3" t="s">
        <v>14</v>
      </c>
      <c r="C11" s="3"/>
      <c r="D11" s="4" t="s">
        <v>15</v>
      </c>
      <c r="E11" s="4"/>
      <c r="F11" s="4"/>
      <c r="G11" s="4"/>
      <c r="H11" s="4"/>
    </row>
    <row r="12" customFormat="false" ht="18" hidden="false" customHeight="true" outlineLevel="0" collapsed="false">
      <c r="B12" s="3" t="s">
        <v>16</v>
      </c>
      <c r="C12" s="3"/>
      <c r="D12" s="4" t="s">
        <v>17</v>
      </c>
      <c r="E12" s="4"/>
      <c r="F12" s="4"/>
      <c r="G12" s="4"/>
      <c r="H12" s="4"/>
    </row>
    <row r="14" customFormat="false" ht="21.75" hidden="false" customHeight="true" outlineLevel="0" collapsed="false">
      <c r="B14" s="5" t="s">
        <v>18</v>
      </c>
      <c r="C14" s="5"/>
      <c r="D14" s="5"/>
      <c r="E14" s="5"/>
      <c r="F14" s="5"/>
      <c r="G14" s="5"/>
      <c r="H14" s="5"/>
    </row>
    <row r="15" customFormat="false" ht="31.5" hidden="false" customHeight="true" outlineLevel="0" collapsed="false">
      <c r="B15" s="6" t="s">
        <v>19</v>
      </c>
      <c r="C15" s="6"/>
      <c r="D15" s="6"/>
      <c r="E15" s="6"/>
      <c r="F15" s="6"/>
      <c r="G15" s="6"/>
      <c r="H15" s="6"/>
    </row>
    <row r="17" customFormat="false" ht="21.75" hidden="false" customHeight="true" outlineLevel="0" collapsed="false">
      <c r="B17" s="7" t="s">
        <v>20</v>
      </c>
      <c r="C17" s="7"/>
      <c r="D17" s="7"/>
      <c r="E17" s="7"/>
      <c r="F17" s="7"/>
      <c r="G17" s="7"/>
      <c r="H17" s="7"/>
    </row>
    <row r="18" customFormat="false" ht="27.75" hidden="false" customHeight="true" outlineLevel="0" collapsed="false">
      <c r="B18" s="8" t="s">
        <v>21</v>
      </c>
      <c r="C18" s="8"/>
      <c r="D18" s="9" t="s">
        <v>22</v>
      </c>
      <c r="E18" s="9"/>
      <c r="F18" s="9"/>
      <c r="G18" s="9"/>
      <c r="H18" s="9"/>
    </row>
    <row r="19" customFormat="false" ht="27.75" hidden="false" customHeight="true" outlineLevel="0" collapsed="false">
      <c r="B19" s="8" t="s">
        <v>23</v>
      </c>
      <c r="C19" s="8"/>
      <c r="D19" s="9" t="s">
        <v>24</v>
      </c>
      <c r="E19" s="9"/>
      <c r="F19" s="9"/>
      <c r="G19" s="9"/>
      <c r="H19" s="9"/>
    </row>
    <row r="20" customFormat="false" ht="27.75" hidden="false" customHeight="true" outlineLevel="0" collapsed="false">
      <c r="B20" s="8" t="s">
        <v>25</v>
      </c>
      <c r="C20" s="8"/>
      <c r="D20" s="9" t="s">
        <v>26</v>
      </c>
      <c r="E20" s="9"/>
      <c r="F20" s="9"/>
      <c r="G20" s="9"/>
      <c r="H20" s="9"/>
    </row>
    <row r="21" customFormat="false" ht="27.75" hidden="false" customHeight="true" outlineLevel="0" collapsed="false">
      <c r="B21" s="8" t="s">
        <v>27</v>
      </c>
      <c r="C21" s="8"/>
      <c r="D21" s="9" t="s">
        <v>28</v>
      </c>
      <c r="E21" s="9"/>
      <c r="F21" s="9"/>
      <c r="G21" s="9"/>
      <c r="H21" s="9"/>
    </row>
    <row r="22" customFormat="false" ht="27.75" hidden="false" customHeight="true" outlineLevel="0" collapsed="false">
      <c r="B22" s="8" t="s">
        <v>29</v>
      </c>
      <c r="C22" s="8"/>
      <c r="D22" s="9" t="s">
        <v>30</v>
      </c>
      <c r="E22" s="9"/>
      <c r="F22" s="9"/>
      <c r="G22" s="9"/>
      <c r="H22" s="9"/>
    </row>
    <row r="24" customFormat="false" ht="30" hidden="false" customHeight="true" outlineLevel="0" collapsed="false">
      <c r="B24" s="10" t="s">
        <v>31</v>
      </c>
      <c r="C24" s="10"/>
      <c r="D24" s="10"/>
      <c r="E24" s="10"/>
      <c r="F24" s="10"/>
      <c r="G24" s="10"/>
      <c r="H24" s="10"/>
    </row>
  </sheetData>
  <mergeCells count="32">
    <mergeCell ref="B2:H2"/>
    <mergeCell ref="B3:H3"/>
    <mergeCell ref="B5:C5"/>
    <mergeCell ref="D5:H5"/>
    <mergeCell ref="B6:C6"/>
    <mergeCell ref="D6:H6"/>
    <mergeCell ref="B7:C7"/>
    <mergeCell ref="D7:H7"/>
    <mergeCell ref="B8:C8"/>
    <mergeCell ref="D8:H8"/>
    <mergeCell ref="B9:C9"/>
    <mergeCell ref="D9:H9"/>
    <mergeCell ref="B10:C10"/>
    <mergeCell ref="D10:H10"/>
    <mergeCell ref="B11:C11"/>
    <mergeCell ref="D11:H11"/>
    <mergeCell ref="B12:C12"/>
    <mergeCell ref="D12:H12"/>
    <mergeCell ref="B14:H14"/>
    <mergeCell ref="B15:H15"/>
    <mergeCell ref="B17:H17"/>
    <mergeCell ref="B18:C18"/>
    <mergeCell ref="D18:H18"/>
    <mergeCell ref="B19:C19"/>
    <mergeCell ref="D19:H19"/>
    <mergeCell ref="B20:C20"/>
    <mergeCell ref="D20:H20"/>
    <mergeCell ref="B21:C21"/>
    <mergeCell ref="D21:H21"/>
    <mergeCell ref="B22:C22"/>
    <mergeCell ref="D22:H22"/>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6"/>
    <col collapsed="false" customWidth="true" hidden="false" outlineLevel="0" max="4" min="4" style="0" width="7"/>
    <col collapsed="false" customWidth="true" hidden="false" outlineLevel="0" max="7" min="5" style="0" width="12"/>
  </cols>
  <sheetData>
    <row r="2" customFormat="false" ht="25.5" hidden="false" customHeight="true" outlineLevel="0" collapsed="false">
      <c r="B2" s="11" t="s">
        <v>32</v>
      </c>
      <c r="C2" s="11"/>
      <c r="D2" s="11"/>
      <c r="E2" s="11"/>
      <c r="F2" s="11"/>
      <c r="G2" s="11"/>
    </row>
    <row r="4" customFormat="false" ht="15" hidden="false" customHeight="false" outlineLevel="0" collapsed="false">
      <c r="B4" s="12" t="s">
        <v>33</v>
      </c>
      <c r="C4" s="13" t="s">
        <v>34</v>
      </c>
      <c r="D4" s="13" t="s">
        <v>35</v>
      </c>
      <c r="E4" s="13" t="s">
        <v>36</v>
      </c>
      <c r="F4" s="13" t="s">
        <v>37</v>
      </c>
      <c r="G4" s="13" t="s">
        <v>38</v>
      </c>
    </row>
    <row r="5" customFormat="false" ht="15" hidden="false" customHeight="false" outlineLevel="0" collapsed="false">
      <c r="B5" s="14" t="s">
        <v>39</v>
      </c>
      <c r="C5" s="15" t="s">
        <v>40</v>
      </c>
      <c r="D5" s="16" t="n">
        <v>2000</v>
      </c>
      <c r="E5" s="17"/>
      <c r="F5" s="17" t="n">
        <v>85.45</v>
      </c>
      <c r="G5" s="17" t="n">
        <v>43.33</v>
      </c>
    </row>
    <row r="6" customFormat="false" ht="15" hidden="false" customHeight="false" outlineLevel="0" collapsed="false">
      <c r="B6" s="14" t="s">
        <v>39</v>
      </c>
      <c r="C6" s="15" t="s">
        <v>40</v>
      </c>
      <c r="D6" s="16" t="n">
        <v>2001</v>
      </c>
      <c r="E6" s="17"/>
      <c r="F6" s="17" t="n">
        <v>80.14</v>
      </c>
      <c r="G6" s="17" t="n">
        <v>44.7</v>
      </c>
    </row>
    <row r="7" customFormat="false" ht="15" hidden="false" customHeight="false" outlineLevel="0" collapsed="false">
      <c r="B7" s="14" t="s">
        <v>39</v>
      </c>
      <c r="C7" s="15" t="s">
        <v>40</v>
      </c>
      <c r="D7" s="16" t="n">
        <v>2002</v>
      </c>
      <c r="E7" s="17"/>
      <c r="F7" s="17" t="n">
        <v>75.25</v>
      </c>
      <c r="G7" s="17" t="n">
        <v>46.93</v>
      </c>
    </row>
    <row r="8" customFormat="false" ht="15" hidden="false" customHeight="false" outlineLevel="0" collapsed="false">
      <c r="B8" s="14" t="s">
        <v>39</v>
      </c>
      <c r="C8" s="15" t="s">
        <v>40</v>
      </c>
      <c r="D8" s="16" t="n">
        <v>2003</v>
      </c>
      <c r="E8" s="17"/>
      <c r="F8" s="17" t="n">
        <v>70.78</v>
      </c>
      <c r="G8" s="17" t="n">
        <v>49.1</v>
      </c>
    </row>
    <row r="9" customFormat="false" ht="15" hidden="false" customHeight="false" outlineLevel="0" collapsed="false">
      <c r="B9" s="14" t="s">
        <v>39</v>
      </c>
      <c r="C9" s="15" t="s">
        <v>40</v>
      </c>
      <c r="D9" s="16" t="n">
        <v>2004</v>
      </c>
      <c r="E9" s="17"/>
      <c r="F9" s="17" t="n">
        <v>66.7</v>
      </c>
      <c r="G9" s="17" t="n">
        <v>48.37</v>
      </c>
    </row>
    <row r="10" customFormat="false" ht="15" hidden="false" customHeight="false" outlineLevel="0" collapsed="false">
      <c r="B10" s="14" t="s">
        <v>39</v>
      </c>
      <c r="C10" s="15" t="s">
        <v>40</v>
      </c>
      <c r="D10" s="16" t="n">
        <v>2005</v>
      </c>
      <c r="E10" s="17" t="n">
        <v>93.69</v>
      </c>
      <c r="F10" s="17" t="n">
        <v>62.97</v>
      </c>
      <c r="G10" s="17" t="n">
        <v>52.33</v>
      </c>
    </row>
    <row r="11" customFormat="false" ht="15" hidden="false" customHeight="false" outlineLevel="0" collapsed="false">
      <c r="B11" s="14" t="s">
        <v>39</v>
      </c>
      <c r="C11" s="15" t="s">
        <v>40</v>
      </c>
      <c r="D11" s="16" t="n">
        <v>2006</v>
      </c>
      <c r="E11" s="17" t="n">
        <v>93.43</v>
      </c>
      <c r="F11" s="17" t="n">
        <v>59.54</v>
      </c>
      <c r="G11" s="17" t="n">
        <v>56.17</v>
      </c>
    </row>
    <row r="12" customFormat="false" ht="15" hidden="false" customHeight="false" outlineLevel="0" collapsed="false">
      <c r="B12" s="14" t="s">
        <v>39</v>
      </c>
      <c r="C12" s="15" t="s">
        <v>40</v>
      </c>
      <c r="D12" s="16" t="n">
        <v>2007</v>
      </c>
      <c r="E12" s="17"/>
      <c r="F12" s="17" t="n">
        <v>56.43</v>
      </c>
      <c r="G12" s="17" t="n">
        <v>53.7</v>
      </c>
    </row>
    <row r="13" customFormat="false" ht="15" hidden="false" customHeight="false" outlineLevel="0" collapsed="false">
      <c r="B13" s="14" t="s">
        <v>39</v>
      </c>
      <c r="C13" s="15" t="s">
        <v>40</v>
      </c>
      <c r="D13" s="16" t="n">
        <v>2008</v>
      </c>
      <c r="E13" s="17" t="n">
        <v>92.57</v>
      </c>
      <c r="F13" s="17" t="n">
        <v>53.59</v>
      </c>
      <c r="G13" s="17" t="n">
        <v>60.4</v>
      </c>
    </row>
    <row r="14" customFormat="false" ht="15" hidden="false" customHeight="false" outlineLevel="0" collapsed="false">
      <c r="B14" s="14" t="s">
        <v>39</v>
      </c>
      <c r="C14" s="15" t="s">
        <v>40</v>
      </c>
      <c r="D14" s="16" t="n">
        <v>2009</v>
      </c>
      <c r="E14" s="17" t="n">
        <v>92.54</v>
      </c>
      <c r="F14" s="17" t="n">
        <v>51</v>
      </c>
      <c r="G14" s="17" t="n">
        <v>62.73</v>
      </c>
    </row>
    <row r="15" customFormat="false" ht="15" hidden="false" customHeight="false" outlineLevel="0" collapsed="false">
      <c r="B15" s="14" t="s">
        <v>39</v>
      </c>
      <c r="C15" s="15" t="s">
        <v>40</v>
      </c>
      <c r="D15" s="16" t="n">
        <v>2010</v>
      </c>
      <c r="E15" s="17" t="n">
        <v>90.53</v>
      </c>
      <c r="F15" s="17" t="n">
        <v>48.65</v>
      </c>
      <c r="G15" s="17" t="n">
        <v>61.8</v>
      </c>
    </row>
    <row r="16" customFormat="false" ht="15" hidden="false" customHeight="false" outlineLevel="0" collapsed="false">
      <c r="B16" s="14" t="s">
        <v>39</v>
      </c>
      <c r="C16" s="15" t="s">
        <v>40</v>
      </c>
      <c r="D16" s="16" t="n">
        <v>2011</v>
      </c>
      <c r="E16" s="17"/>
      <c r="F16" s="17" t="n">
        <v>46.48</v>
      </c>
      <c r="G16" s="17" t="n">
        <v>65.17</v>
      </c>
    </row>
    <row r="17" customFormat="false" ht="15" hidden="false" customHeight="false" outlineLevel="0" collapsed="false">
      <c r="B17" s="14" t="s">
        <v>39</v>
      </c>
      <c r="C17" s="15" t="s">
        <v>40</v>
      </c>
      <c r="D17" s="16" t="n">
        <v>2012</v>
      </c>
      <c r="E17" s="17"/>
      <c r="F17" s="17" t="n">
        <v>44.4</v>
      </c>
      <c r="G17" s="17" t="n">
        <v>69.97</v>
      </c>
    </row>
    <row r="18" customFormat="false" ht="15" hidden="false" customHeight="false" outlineLevel="0" collapsed="false">
      <c r="B18" s="14" t="s">
        <v>39</v>
      </c>
      <c r="C18" s="15" t="s">
        <v>40</v>
      </c>
      <c r="D18" s="16" t="n">
        <v>2013</v>
      </c>
      <c r="E18" s="17"/>
      <c r="F18" s="17" t="n">
        <v>42.4</v>
      </c>
      <c r="G18" s="17" t="n">
        <v>66.03</v>
      </c>
    </row>
    <row r="19" customFormat="false" ht="15" hidden="false" customHeight="false" outlineLevel="0" collapsed="false">
      <c r="B19" s="14" t="s">
        <v>39</v>
      </c>
      <c r="C19" s="15" t="s">
        <v>40</v>
      </c>
      <c r="D19" s="16" t="n">
        <v>2014</v>
      </c>
      <c r="E19" s="17"/>
      <c r="F19" s="17" t="n">
        <v>40.42</v>
      </c>
      <c r="G19" s="17" t="n">
        <v>67.07</v>
      </c>
    </row>
    <row r="20" customFormat="false" ht="15" hidden="false" customHeight="false" outlineLevel="0" collapsed="false">
      <c r="B20" s="14" t="s">
        <v>39</v>
      </c>
      <c r="C20" s="15" t="s">
        <v>40</v>
      </c>
      <c r="D20" s="16" t="n">
        <v>2015</v>
      </c>
      <c r="E20" s="17"/>
      <c r="F20" s="17" t="n">
        <v>38.5</v>
      </c>
      <c r="G20" s="17" t="n">
        <v>77.13</v>
      </c>
    </row>
    <row r="21" customFormat="false" ht="15" hidden="false" customHeight="false" outlineLevel="0" collapsed="false">
      <c r="B21" s="14" t="s">
        <v>39</v>
      </c>
      <c r="C21" s="15" t="s">
        <v>40</v>
      </c>
      <c r="D21" s="16" t="n">
        <v>2016</v>
      </c>
      <c r="E21" s="17"/>
      <c r="F21" s="17" t="n">
        <v>36.63</v>
      </c>
      <c r="G21" s="17" t="n">
        <v>78.67</v>
      </c>
    </row>
    <row r="22" customFormat="false" ht="15" hidden="false" customHeight="false" outlineLevel="0" collapsed="false">
      <c r="B22" s="14" t="s">
        <v>39</v>
      </c>
      <c r="C22" s="15" t="s">
        <v>40</v>
      </c>
      <c r="D22" s="16" t="n">
        <v>2017</v>
      </c>
      <c r="E22" s="17"/>
      <c r="F22" s="17" t="n">
        <v>34.92</v>
      </c>
      <c r="G22" s="17" t="n">
        <v>89.7</v>
      </c>
    </row>
    <row r="23" customFormat="false" ht="15" hidden="false" customHeight="false" outlineLevel="0" collapsed="false">
      <c r="B23" s="14" t="s">
        <v>39</v>
      </c>
      <c r="C23" s="15" t="s">
        <v>40</v>
      </c>
      <c r="D23" s="16" t="n">
        <v>2018</v>
      </c>
      <c r="E23" s="17"/>
      <c r="F23" s="17" t="n">
        <v>33.43</v>
      </c>
      <c r="G23" s="17" t="n">
        <v>88.27</v>
      </c>
    </row>
    <row r="24" customFormat="false" ht="15" hidden="false" customHeight="false" outlineLevel="0" collapsed="false">
      <c r="B24" s="14" t="s">
        <v>39</v>
      </c>
      <c r="C24" s="15" t="s">
        <v>40</v>
      </c>
      <c r="D24" s="16" t="n">
        <v>2019</v>
      </c>
      <c r="E24" s="17"/>
      <c r="F24" s="17" t="n">
        <v>32.25</v>
      </c>
      <c r="G24" s="17" t="n">
        <v>92.97</v>
      </c>
    </row>
    <row r="25" customFormat="false" ht="15" hidden="false" customHeight="false" outlineLevel="0" collapsed="false">
      <c r="B25" s="14" t="s">
        <v>39</v>
      </c>
      <c r="C25" s="15" t="s">
        <v>40</v>
      </c>
      <c r="D25" s="16" t="n">
        <v>2020</v>
      </c>
      <c r="E25" s="17"/>
      <c r="F25" s="17" t="n">
        <v>31.4</v>
      </c>
      <c r="G25" s="17" t="n">
        <v>96.4</v>
      </c>
    </row>
    <row r="26" customFormat="false" ht="15" hidden="false" customHeight="false" outlineLevel="0" collapsed="false">
      <c r="B26" s="14" t="s">
        <v>39</v>
      </c>
      <c r="C26" s="15" t="s">
        <v>40</v>
      </c>
      <c r="D26" s="16" t="n">
        <v>2021</v>
      </c>
      <c r="E26" s="17"/>
      <c r="F26" s="17" t="n">
        <v>30.87</v>
      </c>
      <c r="G26" s="17" t="n">
        <v>99.07</v>
      </c>
    </row>
    <row r="27" customFormat="false" ht="15" hidden="false" customHeight="false" outlineLevel="0" collapsed="false">
      <c r="B27" s="14" t="s">
        <v>39</v>
      </c>
      <c r="C27" s="15" t="s">
        <v>40</v>
      </c>
      <c r="D27" s="16" t="n">
        <v>2022</v>
      </c>
      <c r="E27" s="17"/>
      <c r="F27" s="17" t="n">
        <v>30.62</v>
      </c>
      <c r="G27" s="17" t="n">
        <v>99.57</v>
      </c>
    </row>
    <row r="28" customFormat="false" ht="15" hidden="false" customHeight="false" outlineLevel="0" collapsed="false">
      <c r="B28" s="14" t="s">
        <v>39</v>
      </c>
      <c r="C28" s="15" t="s">
        <v>40</v>
      </c>
      <c r="D28" s="16" t="n">
        <v>2023</v>
      </c>
      <c r="E28" s="17"/>
      <c r="F28" s="17" t="n">
        <v>30.56</v>
      </c>
      <c r="G28" s="17" t="n">
        <v>99.53</v>
      </c>
    </row>
    <row r="29" customFormat="false" ht="15" hidden="false" customHeight="false" outlineLevel="0" collapsed="false">
      <c r="B29" s="18" t="s">
        <v>41</v>
      </c>
      <c r="C29" s="19" t="s">
        <v>42</v>
      </c>
      <c r="D29" s="20" t="n">
        <v>2000</v>
      </c>
      <c r="E29" s="21" t="n">
        <v>40.17</v>
      </c>
      <c r="F29" s="21" t="n">
        <v>139.93</v>
      </c>
      <c r="G29" s="21" t="n">
        <v>30.2</v>
      </c>
    </row>
    <row r="30" customFormat="false" ht="15" hidden="false" customHeight="false" outlineLevel="0" collapsed="false">
      <c r="B30" s="18" t="s">
        <v>41</v>
      </c>
      <c r="C30" s="19" t="s">
        <v>42</v>
      </c>
      <c r="D30" s="20" t="n">
        <v>2001</v>
      </c>
      <c r="E30" s="21" t="n">
        <v>43.94</v>
      </c>
      <c r="F30" s="21" t="n">
        <v>133.63</v>
      </c>
      <c r="G30" s="21" t="n">
        <v>44.75</v>
      </c>
    </row>
    <row r="31" customFormat="false" ht="15" hidden="false" customHeight="false" outlineLevel="0" collapsed="false">
      <c r="B31" s="18" t="s">
        <v>41</v>
      </c>
      <c r="C31" s="19" t="s">
        <v>42</v>
      </c>
      <c r="D31" s="20" t="n">
        <v>2002</v>
      </c>
      <c r="E31" s="21" t="n">
        <v>46.06</v>
      </c>
      <c r="F31" s="21" t="n">
        <v>127.26</v>
      </c>
      <c r="G31" s="21" t="n">
        <v>45.9</v>
      </c>
    </row>
    <row r="32" customFormat="false" ht="15" hidden="false" customHeight="false" outlineLevel="0" collapsed="false">
      <c r="B32" s="18" t="s">
        <v>41</v>
      </c>
      <c r="C32" s="19" t="s">
        <v>42</v>
      </c>
      <c r="D32" s="20" t="n">
        <v>2003</v>
      </c>
      <c r="E32" s="21" t="n">
        <v>46.78</v>
      </c>
      <c r="F32" s="21" t="n">
        <v>120.85</v>
      </c>
      <c r="G32" s="21" t="n">
        <v>31.83</v>
      </c>
    </row>
    <row r="33" customFormat="false" ht="15" hidden="false" customHeight="false" outlineLevel="0" collapsed="false">
      <c r="B33" s="18" t="s">
        <v>41</v>
      </c>
      <c r="C33" s="19" t="s">
        <v>42</v>
      </c>
      <c r="D33" s="20" t="n">
        <v>2004</v>
      </c>
      <c r="E33" s="21" t="n">
        <v>49.58</v>
      </c>
      <c r="F33" s="21" t="n">
        <v>114.4</v>
      </c>
      <c r="G33" s="21" t="n">
        <v>33.17</v>
      </c>
    </row>
    <row r="34" customFormat="false" ht="15" hidden="false" customHeight="false" outlineLevel="0" collapsed="false">
      <c r="B34" s="18" t="s">
        <v>41</v>
      </c>
      <c r="C34" s="19" t="s">
        <v>42</v>
      </c>
      <c r="D34" s="20" t="n">
        <v>2005</v>
      </c>
      <c r="E34" s="21" t="n">
        <v>60.39</v>
      </c>
      <c r="F34" s="21" t="n">
        <v>108.18</v>
      </c>
      <c r="G34" s="21" t="n">
        <v>33.43</v>
      </c>
    </row>
    <row r="35" customFormat="false" ht="15" hidden="false" customHeight="false" outlineLevel="0" collapsed="false">
      <c r="B35" s="18" t="s">
        <v>41</v>
      </c>
      <c r="C35" s="19" t="s">
        <v>42</v>
      </c>
      <c r="D35" s="20" t="n">
        <v>2006</v>
      </c>
      <c r="E35" s="21" t="n">
        <v>65.01</v>
      </c>
      <c r="F35" s="21" t="n">
        <v>102.26</v>
      </c>
      <c r="G35" s="21" t="n">
        <v>35.9</v>
      </c>
    </row>
    <row r="36" customFormat="false" ht="15" hidden="false" customHeight="false" outlineLevel="0" collapsed="false">
      <c r="B36" s="18" t="s">
        <v>41</v>
      </c>
      <c r="C36" s="19" t="s">
        <v>42</v>
      </c>
      <c r="D36" s="20" t="n">
        <v>2007</v>
      </c>
      <c r="E36" s="21" t="n">
        <v>70.07</v>
      </c>
      <c r="F36" s="21" t="n">
        <v>96.75</v>
      </c>
      <c r="G36" s="21" t="n">
        <v>37.27</v>
      </c>
    </row>
    <row r="37" customFormat="false" ht="15" hidden="false" customHeight="false" outlineLevel="0" collapsed="false">
      <c r="B37" s="18" t="s">
        <v>41</v>
      </c>
      <c r="C37" s="19" t="s">
        <v>42</v>
      </c>
      <c r="D37" s="20" t="n">
        <v>2008</v>
      </c>
      <c r="E37" s="21" t="n">
        <v>75.78</v>
      </c>
      <c r="F37" s="21" t="n">
        <v>91.65</v>
      </c>
      <c r="G37" s="21" t="n">
        <v>38.57</v>
      </c>
    </row>
    <row r="38" customFormat="false" ht="15" hidden="false" customHeight="false" outlineLevel="0" collapsed="false">
      <c r="B38" s="18" t="s">
        <v>41</v>
      </c>
      <c r="C38" s="19" t="s">
        <v>42</v>
      </c>
      <c r="D38" s="20" t="n">
        <v>2009</v>
      </c>
      <c r="E38" s="21" t="n">
        <v>75.36</v>
      </c>
      <c r="F38" s="21" t="n">
        <v>86.92</v>
      </c>
      <c r="G38" s="21" t="n">
        <v>39.93</v>
      </c>
    </row>
    <row r="39" customFormat="false" ht="15" hidden="false" customHeight="false" outlineLevel="0" collapsed="false">
      <c r="B39" s="18" t="s">
        <v>41</v>
      </c>
      <c r="C39" s="19" t="s">
        <v>42</v>
      </c>
      <c r="D39" s="20" t="n">
        <v>2010</v>
      </c>
      <c r="E39" s="21" t="n">
        <v>73.35</v>
      </c>
      <c r="F39" s="21" t="n">
        <v>82.54</v>
      </c>
      <c r="G39" s="21" t="n">
        <v>41.33</v>
      </c>
    </row>
    <row r="40" customFormat="false" ht="15" hidden="false" customHeight="false" outlineLevel="0" collapsed="false">
      <c r="B40" s="18" t="s">
        <v>41</v>
      </c>
      <c r="C40" s="19" t="s">
        <v>42</v>
      </c>
      <c r="D40" s="20" t="n">
        <v>2011</v>
      </c>
      <c r="E40" s="21" t="n">
        <v>77.23</v>
      </c>
      <c r="F40" s="21" t="n">
        <v>78.47</v>
      </c>
      <c r="G40" s="21" t="n">
        <v>39.27</v>
      </c>
    </row>
    <row r="41" customFormat="false" ht="15" hidden="false" customHeight="false" outlineLevel="0" collapsed="false">
      <c r="B41" s="18" t="s">
        <v>41</v>
      </c>
      <c r="C41" s="19" t="s">
        <v>42</v>
      </c>
      <c r="D41" s="20" t="n">
        <v>2012</v>
      </c>
      <c r="E41" s="21" t="n">
        <v>78.49</v>
      </c>
      <c r="F41" s="21" t="n">
        <v>74.64</v>
      </c>
      <c r="G41" s="21" t="n">
        <v>44.07</v>
      </c>
    </row>
    <row r="42" customFormat="false" ht="15" hidden="false" customHeight="false" outlineLevel="0" collapsed="false">
      <c r="B42" s="18" t="s">
        <v>41</v>
      </c>
      <c r="C42" s="19" t="s">
        <v>42</v>
      </c>
      <c r="D42" s="20" t="n">
        <v>2013</v>
      </c>
      <c r="E42" s="21"/>
      <c r="F42" s="21" t="n">
        <v>71.02</v>
      </c>
      <c r="G42" s="21" t="n">
        <v>45.47</v>
      </c>
    </row>
    <row r="43" customFormat="false" ht="15" hidden="false" customHeight="false" outlineLevel="0" collapsed="false">
      <c r="B43" s="18" t="s">
        <v>41</v>
      </c>
      <c r="C43" s="19" t="s">
        <v>42</v>
      </c>
      <c r="D43" s="20" t="n">
        <v>2014</v>
      </c>
      <c r="E43" s="21" t="n">
        <v>85.1</v>
      </c>
      <c r="F43" s="21" t="n">
        <v>67.56</v>
      </c>
      <c r="G43" s="21" t="n">
        <v>43.73</v>
      </c>
    </row>
    <row r="44" customFormat="false" ht="15" hidden="false" customHeight="false" outlineLevel="0" collapsed="false">
      <c r="B44" s="18" t="s">
        <v>41</v>
      </c>
      <c r="C44" s="19" t="s">
        <v>42</v>
      </c>
      <c r="D44" s="20" t="n">
        <v>2015</v>
      </c>
      <c r="E44" s="21" t="n">
        <v>84.62</v>
      </c>
      <c r="F44" s="21" t="n">
        <v>64.27</v>
      </c>
      <c r="G44" s="21" t="n">
        <v>43.17</v>
      </c>
    </row>
    <row r="45" customFormat="false" ht="15" hidden="false" customHeight="false" outlineLevel="0" collapsed="false">
      <c r="B45" s="18" t="s">
        <v>41</v>
      </c>
      <c r="C45" s="19" t="s">
        <v>42</v>
      </c>
      <c r="D45" s="20" t="n">
        <v>2016</v>
      </c>
      <c r="E45" s="21"/>
      <c r="F45" s="21" t="n">
        <v>61.16</v>
      </c>
      <c r="G45" s="21" t="n">
        <v>53.57</v>
      </c>
    </row>
    <row r="46" customFormat="false" ht="15" hidden="false" customHeight="false" outlineLevel="0" collapsed="false">
      <c r="B46" s="18" t="s">
        <v>41</v>
      </c>
      <c r="C46" s="19" t="s">
        <v>42</v>
      </c>
      <c r="D46" s="20" t="n">
        <v>2017</v>
      </c>
      <c r="E46" s="21"/>
      <c r="F46" s="21" t="n">
        <v>58.3</v>
      </c>
      <c r="G46" s="21" t="n">
        <v>57.3</v>
      </c>
    </row>
    <row r="47" customFormat="false" ht="15" hidden="false" customHeight="false" outlineLevel="0" collapsed="false">
      <c r="B47" s="18" t="s">
        <v>41</v>
      </c>
      <c r="C47" s="19" t="s">
        <v>42</v>
      </c>
      <c r="D47" s="20" t="n">
        <v>2018</v>
      </c>
      <c r="E47" s="21"/>
      <c r="F47" s="21" t="n">
        <v>55.72</v>
      </c>
      <c r="G47" s="21" t="n">
        <v>56.37</v>
      </c>
    </row>
    <row r="48" customFormat="false" ht="15" hidden="false" customHeight="false" outlineLevel="0" collapsed="false">
      <c r="B48" s="18" t="s">
        <v>41</v>
      </c>
      <c r="C48" s="19" t="s">
        <v>42</v>
      </c>
      <c r="D48" s="20" t="n">
        <v>2019</v>
      </c>
      <c r="E48" s="21"/>
      <c r="F48" s="21" t="n">
        <v>53.46</v>
      </c>
      <c r="G48" s="21" t="n">
        <v>58.9</v>
      </c>
    </row>
    <row r="49" customFormat="false" ht="15" hidden="false" customHeight="false" outlineLevel="0" collapsed="false">
      <c r="B49" s="18" t="s">
        <v>41</v>
      </c>
      <c r="C49" s="19" t="s">
        <v>42</v>
      </c>
      <c r="D49" s="20" t="n">
        <v>2020</v>
      </c>
      <c r="E49" s="21"/>
      <c r="F49" s="21" t="n">
        <v>51.43</v>
      </c>
      <c r="G49" s="21" t="n">
        <v>61.33</v>
      </c>
    </row>
    <row r="50" customFormat="false" ht="15" hidden="false" customHeight="false" outlineLevel="0" collapsed="false">
      <c r="B50" s="18" t="s">
        <v>41</v>
      </c>
      <c r="C50" s="19" t="s">
        <v>42</v>
      </c>
      <c r="D50" s="20" t="n">
        <v>2021</v>
      </c>
      <c r="E50" s="21"/>
      <c r="F50" s="21" t="n">
        <v>70.26</v>
      </c>
      <c r="G50" s="21" t="n">
        <v>63.77</v>
      </c>
    </row>
    <row r="51" customFormat="false" ht="15" hidden="false" customHeight="false" outlineLevel="0" collapsed="false">
      <c r="B51" s="18" t="s">
        <v>41</v>
      </c>
      <c r="C51" s="19" t="s">
        <v>42</v>
      </c>
      <c r="D51" s="20" t="n">
        <v>2022</v>
      </c>
      <c r="E51" s="21"/>
      <c r="F51" s="21" t="n">
        <v>67.98</v>
      </c>
      <c r="G51" s="21" t="n">
        <v>64</v>
      </c>
    </row>
    <row r="52" customFormat="false" ht="15" hidden="false" customHeight="false" outlineLevel="0" collapsed="false">
      <c r="B52" s="18" t="s">
        <v>41</v>
      </c>
      <c r="C52" s="19" t="s">
        <v>42</v>
      </c>
      <c r="D52" s="20" t="n">
        <v>2023</v>
      </c>
      <c r="E52" s="21"/>
      <c r="F52" s="21" t="n">
        <v>51.4</v>
      </c>
      <c r="G52" s="21" t="n">
        <v>64.57</v>
      </c>
    </row>
    <row r="53" customFormat="false" ht="15" hidden="false" customHeight="false" outlineLevel="0" collapsed="false">
      <c r="B53" s="14" t="s">
        <v>43</v>
      </c>
      <c r="C53" s="15" t="s">
        <v>44</v>
      </c>
      <c r="D53" s="16" t="n">
        <v>2000</v>
      </c>
      <c r="E53" s="17" t="n">
        <v>62.48</v>
      </c>
      <c r="F53" s="17" t="n">
        <v>99.81</v>
      </c>
      <c r="G53" s="17" t="n">
        <v>46.37</v>
      </c>
    </row>
    <row r="54" customFormat="false" ht="15" hidden="false" customHeight="false" outlineLevel="0" collapsed="false">
      <c r="B54" s="14" t="s">
        <v>43</v>
      </c>
      <c r="C54" s="15" t="s">
        <v>44</v>
      </c>
      <c r="D54" s="16" t="n">
        <v>2001</v>
      </c>
      <c r="E54" s="17" t="n">
        <v>57.35</v>
      </c>
      <c r="F54" s="17" t="n">
        <v>95.69</v>
      </c>
      <c r="G54" s="17" t="n">
        <v>47.03</v>
      </c>
    </row>
    <row r="55" customFormat="false" ht="15" hidden="false" customHeight="false" outlineLevel="0" collapsed="false">
      <c r="B55" s="14" t="s">
        <v>43</v>
      </c>
      <c r="C55" s="15" t="s">
        <v>44</v>
      </c>
      <c r="D55" s="16" t="n">
        <v>2002</v>
      </c>
      <c r="E55" s="17" t="n">
        <v>59.9</v>
      </c>
      <c r="F55" s="17" t="n">
        <v>91.75</v>
      </c>
      <c r="G55" s="17" t="n">
        <v>48.7</v>
      </c>
    </row>
    <row r="56" customFormat="false" ht="15" hidden="false" customHeight="false" outlineLevel="0" collapsed="false">
      <c r="B56" s="14" t="s">
        <v>43</v>
      </c>
      <c r="C56" s="15" t="s">
        <v>44</v>
      </c>
      <c r="D56" s="16" t="n">
        <v>2003</v>
      </c>
      <c r="E56" s="17" t="n">
        <v>59.57</v>
      </c>
      <c r="F56" s="17" t="n">
        <v>88.14</v>
      </c>
      <c r="G56" s="17" t="n">
        <v>49.73</v>
      </c>
    </row>
    <row r="57" customFormat="false" ht="15" hidden="false" customHeight="false" outlineLevel="0" collapsed="false">
      <c r="B57" s="14" t="s">
        <v>43</v>
      </c>
      <c r="C57" s="15" t="s">
        <v>44</v>
      </c>
      <c r="D57" s="16" t="n">
        <v>2004</v>
      </c>
      <c r="E57" s="17"/>
      <c r="F57" s="17" t="n">
        <v>84.85</v>
      </c>
      <c r="G57" s="17" t="n">
        <v>52.07</v>
      </c>
    </row>
    <row r="58" customFormat="false" ht="15" hidden="false" customHeight="false" outlineLevel="0" collapsed="false">
      <c r="B58" s="14" t="s">
        <v>43</v>
      </c>
      <c r="C58" s="15" t="s">
        <v>44</v>
      </c>
      <c r="D58" s="16" t="n">
        <v>2005</v>
      </c>
      <c r="E58" s="17" t="n">
        <v>63.71</v>
      </c>
      <c r="F58" s="17" t="n">
        <v>81.9</v>
      </c>
      <c r="G58" s="17" t="n">
        <v>42.53</v>
      </c>
    </row>
    <row r="59" customFormat="false" ht="15" hidden="false" customHeight="false" outlineLevel="0" collapsed="false">
      <c r="B59" s="14" t="s">
        <v>43</v>
      </c>
      <c r="C59" s="15" t="s">
        <v>44</v>
      </c>
      <c r="D59" s="16" t="n">
        <v>2006</v>
      </c>
      <c r="E59" s="17" t="n">
        <v>62.81</v>
      </c>
      <c r="F59" s="17" t="n">
        <v>79.02</v>
      </c>
      <c r="G59" s="17" t="n">
        <v>55.73</v>
      </c>
    </row>
    <row r="60" customFormat="false" ht="15" hidden="false" customHeight="false" outlineLevel="0" collapsed="false">
      <c r="B60" s="14" t="s">
        <v>43</v>
      </c>
      <c r="C60" s="15" t="s">
        <v>44</v>
      </c>
      <c r="D60" s="16" t="n">
        <v>2007</v>
      </c>
      <c r="E60" s="17" t="n">
        <v>68.15</v>
      </c>
      <c r="F60" s="17" t="n">
        <v>76.05</v>
      </c>
      <c r="G60" s="17" t="n">
        <v>57.33</v>
      </c>
    </row>
    <row r="61" customFormat="false" ht="15" hidden="false" customHeight="false" outlineLevel="0" collapsed="false">
      <c r="B61" s="14" t="s">
        <v>43</v>
      </c>
      <c r="C61" s="15" t="s">
        <v>44</v>
      </c>
      <c r="D61" s="16" t="n">
        <v>2008</v>
      </c>
      <c r="E61" s="17" t="n">
        <v>73.32</v>
      </c>
      <c r="F61" s="17" t="n">
        <v>72.95</v>
      </c>
      <c r="G61" s="17" t="n">
        <v>60.7</v>
      </c>
    </row>
    <row r="62" customFormat="false" ht="15" hidden="false" customHeight="false" outlineLevel="0" collapsed="false">
      <c r="B62" s="14" t="s">
        <v>43</v>
      </c>
      <c r="C62" s="15" t="s">
        <v>44</v>
      </c>
      <c r="D62" s="16" t="n">
        <v>2009</v>
      </c>
      <c r="E62" s="17" t="n">
        <v>72.36</v>
      </c>
      <c r="F62" s="17" t="n">
        <v>69.7</v>
      </c>
      <c r="G62" s="17" t="n">
        <v>61.07</v>
      </c>
    </row>
    <row r="63" customFormat="false" ht="15" hidden="false" customHeight="false" outlineLevel="0" collapsed="false">
      <c r="B63" s="14" t="s">
        <v>43</v>
      </c>
      <c r="C63" s="15" t="s">
        <v>44</v>
      </c>
      <c r="D63" s="16" t="n">
        <v>2010</v>
      </c>
      <c r="E63" s="17"/>
      <c r="F63" s="17" t="n">
        <v>66.41</v>
      </c>
      <c r="G63" s="17" t="n">
        <v>64.13</v>
      </c>
    </row>
    <row r="64" customFormat="false" ht="15" hidden="false" customHeight="false" outlineLevel="0" collapsed="false">
      <c r="B64" s="14" t="s">
        <v>43</v>
      </c>
      <c r="C64" s="15" t="s">
        <v>44</v>
      </c>
      <c r="D64" s="16" t="n">
        <v>2011</v>
      </c>
      <c r="E64" s="17" t="n">
        <v>80.59</v>
      </c>
      <c r="F64" s="17" t="n">
        <v>63.2</v>
      </c>
      <c r="G64" s="17" t="n">
        <v>63.7</v>
      </c>
    </row>
    <row r="65" customFormat="false" ht="15" hidden="false" customHeight="false" outlineLevel="0" collapsed="false">
      <c r="B65" s="14" t="s">
        <v>43</v>
      </c>
      <c r="C65" s="15" t="s">
        <v>44</v>
      </c>
      <c r="D65" s="16" t="n">
        <v>2012</v>
      </c>
      <c r="E65" s="17" t="n">
        <v>79.39</v>
      </c>
      <c r="F65" s="17" t="n">
        <v>60.16</v>
      </c>
      <c r="G65" s="17" t="n">
        <v>55.63</v>
      </c>
    </row>
    <row r="66" customFormat="false" ht="15" hidden="false" customHeight="false" outlineLevel="0" collapsed="false">
      <c r="B66" s="14" t="s">
        <v>43</v>
      </c>
      <c r="C66" s="15" t="s">
        <v>44</v>
      </c>
      <c r="D66" s="16" t="n">
        <v>2013</v>
      </c>
      <c r="E66" s="17" t="n">
        <v>84.93</v>
      </c>
      <c r="F66" s="17" t="n">
        <v>57.38</v>
      </c>
      <c r="G66" s="17" t="n">
        <v>70</v>
      </c>
    </row>
    <row r="67" customFormat="false" ht="15" hidden="false" customHeight="false" outlineLevel="0" collapsed="false">
      <c r="B67" s="14" t="s">
        <v>43</v>
      </c>
      <c r="C67" s="15" t="s">
        <v>44</v>
      </c>
      <c r="D67" s="16" t="n">
        <v>2014</v>
      </c>
      <c r="E67" s="17" t="n">
        <v>86.99</v>
      </c>
      <c r="F67" s="17" t="n">
        <v>54.82</v>
      </c>
      <c r="G67" s="17" t="n">
        <v>77.7</v>
      </c>
    </row>
    <row r="68" customFormat="false" ht="15" hidden="false" customHeight="false" outlineLevel="0" collapsed="false">
      <c r="B68" s="14" t="s">
        <v>43</v>
      </c>
      <c r="C68" s="15" t="s">
        <v>44</v>
      </c>
      <c r="D68" s="16" t="n">
        <v>2015</v>
      </c>
      <c r="E68" s="17" t="n">
        <v>89.29</v>
      </c>
      <c r="F68" s="17" t="n">
        <v>52.45</v>
      </c>
      <c r="G68" s="17" t="n">
        <v>73.13</v>
      </c>
    </row>
    <row r="69" customFormat="false" ht="15" hidden="false" customHeight="false" outlineLevel="0" collapsed="false">
      <c r="B69" s="14" t="s">
        <v>43</v>
      </c>
      <c r="C69" s="15" t="s">
        <v>44</v>
      </c>
      <c r="D69" s="16" t="n">
        <v>2016</v>
      </c>
      <c r="E69" s="17" t="n">
        <v>86.38</v>
      </c>
      <c r="F69" s="17" t="n">
        <v>50.24</v>
      </c>
      <c r="G69" s="17" t="n">
        <v>78.57</v>
      </c>
    </row>
    <row r="70" customFormat="false" ht="15" hidden="false" customHeight="false" outlineLevel="0" collapsed="false">
      <c r="B70" s="14" t="s">
        <v>43</v>
      </c>
      <c r="C70" s="15" t="s">
        <v>44</v>
      </c>
      <c r="D70" s="16" t="n">
        <v>2017</v>
      </c>
      <c r="E70" s="17" t="n">
        <v>85.18</v>
      </c>
      <c r="F70" s="17" t="n">
        <v>48.11</v>
      </c>
      <c r="G70" s="17" t="n">
        <v>78.1</v>
      </c>
    </row>
    <row r="71" customFormat="false" ht="15" hidden="false" customHeight="false" outlineLevel="0" collapsed="false">
      <c r="B71" s="14" t="s">
        <v>43</v>
      </c>
      <c r="C71" s="15" t="s">
        <v>44</v>
      </c>
      <c r="D71" s="16" t="n">
        <v>2018</v>
      </c>
      <c r="E71" s="17" t="n">
        <v>84.48</v>
      </c>
      <c r="F71" s="17" t="n">
        <v>46.03</v>
      </c>
      <c r="G71" s="17" t="n">
        <v>79.53</v>
      </c>
    </row>
    <row r="72" customFormat="false" ht="15" hidden="false" customHeight="false" outlineLevel="0" collapsed="false">
      <c r="B72" s="14" t="s">
        <v>43</v>
      </c>
      <c r="C72" s="15" t="s">
        <v>44</v>
      </c>
      <c r="D72" s="16" t="n">
        <v>2019</v>
      </c>
      <c r="E72" s="17" t="n">
        <v>86.16</v>
      </c>
      <c r="F72" s="17" t="n">
        <v>44.01</v>
      </c>
      <c r="G72" s="17" t="n">
        <v>82.43</v>
      </c>
    </row>
    <row r="73" customFormat="false" ht="15" hidden="false" customHeight="false" outlineLevel="0" collapsed="false">
      <c r="B73" s="14" t="s">
        <v>43</v>
      </c>
      <c r="C73" s="15" t="s">
        <v>44</v>
      </c>
      <c r="D73" s="16" t="n">
        <v>2020</v>
      </c>
      <c r="E73" s="17"/>
      <c r="F73" s="17" t="n">
        <v>42.05</v>
      </c>
      <c r="G73" s="17" t="n">
        <v>84.37</v>
      </c>
    </row>
    <row r="74" customFormat="false" ht="15" hidden="false" customHeight="false" outlineLevel="0" collapsed="false">
      <c r="B74" s="14" t="s">
        <v>43</v>
      </c>
      <c r="C74" s="15" t="s">
        <v>44</v>
      </c>
      <c r="D74" s="16" t="n">
        <v>2021</v>
      </c>
      <c r="E74" s="17"/>
      <c r="F74" s="17" t="n">
        <v>40.23</v>
      </c>
      <c r="G74" s="17" t="n">
        <v>85.17</v>
      </c>
    </row>
    <row r="75" customFormat="false" ht="15" hidden="false" customHeight="false" outlineLevel="0" collapsed="false">
      <c r="B75" s="14" t="s">
        <v>43</v>
      </c>
      <c r="C75" s="15" t="s">
        <v>44</v>
      </c>
      <c r="D75" s="16" t="n">
        <v>2022</v>
      </c>
      <c r="E75" s="17"/>
      <c r="F75" s="17" t="n">
        <v>38.58</v>
      </c>
      <c r="G75" s="17" t="n">
        <v>83.9</v>
      </c>
    </row>
    <row r="76" customFormat="false" ht="15" hidden="false" customHeight="false" outlineLevel="0" collapsed="false">
      <c r="B76" s="14" t="s">
        <v>43</v>
      </c>
      <c r="C76" s="15" t="s">
        <v>44</v>
      </c>
      <c r="D76" s="16" t="n">
        <v>2023</v>
      </c>
      <c r="E76" s="17"/>
      <c r="F76" s="17" t="n">
        <v>37.13</v>
      </c>
      <c r="G76" s="17" t="n">
        <v>88.27</v>
      </c>
    </row>
    <row r="77" customFormat="false" ht="15" hidden="false" customHeight="false" outlineLevel="0" collapsed="false">
      <c r="B77" s="18" t="s">
        <v>45</v>
      </c>
      <c r="C77" s="19" t="s">
        <v>46</v>
      </c>
      <c r="D77" s="20" t="n">
        <v>2000</v>
      </c>
      <c r="E77" s="21" t="n">
        <v>79.51</v>
      </c>
      <c r="F77" s="21" t="n">
        <v>91.84</v>
      </c>
      <c r="G77" s="21" t="n">
        <v>66.3</v>
      </c>
    </row>
    <row r="78" customFormat="false" ht="15" hidden="false" customHeight="false" outlineLevel="0" collapsed="false">
      <c r="B78" s="18" t="s">
        <v>45</v>
      </c>
      <c r="C78" s="19" t="s">
        <v>46</v>
      </c>
      <c r="D78" s="20" t="n">
        <v>2001</v>
      </c>
      <c r="E78" s="21" t="n">
        <v>79.38</v>
      </c>
      <c r="F78" s="21" t="n">
        <v>88.22</v>
      </c>
      <c r="G78" s="21" t="n">
        <v>67.7</v>
      </c>
    </row>
    <row r="79" customFormat="false" ht="15" hidden="false" customHeight="false" outlineLevel="0" collapsed="false">
      <c r="B79" s="18" t="s">
        <v>45</v>
      </c>
      <c r="C79" s="19" t="s">
        <v>46</v>
      </c>
      <c r="D79" s="20" t="n">
        <v>2002</v>
      </c>
      <c r="E79" s="21" t="n">
        <v>79</v>
      </c>
      <c r="F79" s="21" t="n">
        <v>84.66</v>
      </c>
      <c r="G79" s="21" t="n">
        <v>68</v>
      </c>
    </row>
    <row r="80" customFormat="false" ht="15" hidden="false" customHeight="false" outlineLevel="0" collapsed="false">
      <c r="B80" s="18" t="s">
        <v>45</v>
      </c>
      <c r="C80" s="19" t="s">
        <v>46</v>
      </c>
      <c r="D80" s="20" t="n">
        <v>2003</v>
      </c>
      <c r="E80" s="21" t="n">
        <v>83.57</v>
      </c>
      <c r="F80" s="21" t="n">
        <v>81.18</v>
      </c>
      <c r="G80" s="21" t="n">
        <v>70.5</v>
      </c>
    </row>
    <row r="81" customFormat="false" ht="15" hidden="false" customHeight="false" outlineLevel="0" collapsed="false">
      <c r="B81" s="18" t="s">
        <v>45</v>
      </c>
      <c r="C81" s="19" t="s">
        <v>46</v>
      </c>
      <c r="D81" s="20" t="n">
        <v>2004</v>
      </c>
      <c r="E81" s="21"/>
      <c r="F81" s="21" t="n">
        <v>77.76</v>
      </c>
      <c r="G81" s="21" t="n">
        <v>69.7</v>
      </c>
    </row>
    <row r="82" customFormat="false" ht="15" hidden="false" customHeight="false" outlineLevel="0" collapsed="false">
      <c r="B82" s="18" t="s">
        <v>45</v>
      </c>
      <c r="C82" s="19" t="s">
        <v>46</v>
      </c>
      <c r="D82" s="20" t="n">
        <v>2005</v>
      </c>
      <c r="E82" s="21"/>
      <c r="F82" s="21" t="n">
        <v>74.41</v>
      </c>
      <c r="G82" s="21" t="n">
        <v>73.33</v>
      </c>
    </row>
    <row r="83" customFormat="false" ht="15" hidden="false" customHeight="false" outlineLevel="0" collapsed="false">
      <c r="B83" s="18" t="s">
        <v>45</v>
      </c>
      <c r="C83" s="19" t="s">
        <v>46</v>
      </c>
      <c r="D83" s="20" t="n">
        <v>2006</v>
      </c>
      <c r="E83" s="21"/>
      <c r="F83" s="21" t="n">
        <v>71.09</v>
      </c>
      <c r="G83" s="21" t="n">
        <v>72.77</v>
      </c>
    </row>
    <row r="84" customFormat="false" ht="15" hidden="false" customHeight="false" outlineLevel="0" collapsed="false">
      <c r="B84" s="18" t="s">
        <v>45</v>
      </c>
      <c r="C84" s="19" t="s">
        <v>46</v>
      </c>
      <c r="D84" s="20" t="n">
        <v>2007</v>
      </c>
      <c r="E84" s="21" t="n">
        <v>91.12</v>
      </c>
      <c r="F84" s="21" t="n">
        <v>67.81</v>
      </c>
      <c r="G84" s="21" t="n">
        <v>76.27</v>
      </c>
    </row>
    <row r="85" customFormat="false" ht="15" hidden="false" customHeight="false" outlineLevel="0" collapsed="false">
      <c r="B85" s="18" t="s">
        <v>45</v>
      </c>
      <c r="C85" s="19" t="s">
        <v>46</v>
      </c>
      <c r="D85" s="20" t="n">
        <v>2008</v>
      </c>
      <c r="E85" s="21" t="n">
        <v>90.87</v>
      </c>
      <c r="F85" s="21" t="n">
        <v>64.52</v>
      </c>
      <c r="G85" s="21" t="n">
        <v>77.8</v>
      </c>
    </row>
    <row r="86" customFormat="false" ht="15" hidden="false" customHeight="false" outlineLevel="0" collapsed="false">
      <c r="B86" s="18" t="s">
        <v>45</v>
      </c>
      <c r="C86" s="19" t="s">
        <v>46</v>
      </c>
      <c r="D86" s="20" t="n">
        <v>2009</v>
      </c>
      <c r="E86" s="21" t="n">
        <v>90.65</v>
      </c>
      <c r="F86" s="21" t="n">
        <v>61.29</v>
      </c>
      <c r="G86" s="21" t="n">
        <v>78.93</v>
      </c>
    </row>
    <row r="87" customFormat="false" ht="15" hidden="false" customHeight="false" outlineLevel="0" collapsed="false">
      <c r="B87" s="18" t="s">
        <v>45</v>
      </c>
      <c r="C87" s="19" t="s">
        <v>46</v>
      </c>
      <c r="D87" s="20" t="n">
        <v>2010</v>
      </c>
      <c r="E87" s="21" t="n">
        <v>90.96</v>
      </c>
      <c r="F87" s="21" t="n">
        <v>58.12</v>
      </c>
      <c r="G87" s="21" t="n">
        <v>79.57</v>
      </c>
    </row>
    <row r="88" customFormat="false" ht="15" hidden="false" customHeight="false" outlineLevel="0" collapsed="false">
      <c r="B88" s="18" t="s">
        <v>45</v>
      </c>
      <c r="C88" s="19" t="s">
        <v>46</v>
      </c>
      <c r="D88" s="20" t="n">
        <v>2011</v>
      </c>
      <c r="E88" s="21" t="n">
        <v>90.37</v>
      </c>
      <c r="F88" s="21" t="n">
        <v>55.02</v>
      </c>
      <c r="G88" s="21" t="n">
        <v>82.4</v>
      </c>
    </row>
    <row r="89" customFormat="false" ht="15" hidden="false" customHeight="false" outlineLevel="0" collapsed="false">
      <c r="B89" s="18" t="s">
        <v>45</v>
      </c>
      <c r="C89" s="19" t="s">
        <v>46</v>
      </c>
      <c r="D89" s="20" t="n">
        <v>2012</v>
      </c>
      <c r="E89" s="21" t="n">
        <v>91.57</v>
      </c>
      <c r="F89" s="21" t="n">
        <v>52.01</v>
      </c>
      <c r="G89" s="21" t="n">
        <v>82.8</v>
      </c>
    </row>
    <row r="90" customFormat="false" ht="15" hidden="false" customHeight="false" outlineLevel="0" collapsed="false">
      <c r="B90" s="18" t="s">
        <v>45</v>
      </c>
      <c r="C90" s="19" t="s">
        <v>46</v>
      </c>
      <c r="D90" s="20" t="n">
        <v>2013</v>
      </c>
      <c r="E90" s="21" t="n">
        <v>92.26</v>
      </c>
      <c r="F90" s="21" t="n">
        <v>49.12</v>
      </c>
      <c r="G90" s="21" t="n">
        <v>85.5</v>
      </c>
    </row>
    <row r="91" customFormat="false" ht="15" hidden="false" customHeight="false" outlineLevel="0" collapsed="false">
      <c r="B91" s="18" t="s">
        <v>45</v>
      </c>
      <c r="C91" s="19" t="s">
        <v>46</v>
      </c>
      <c r="D91" s="20" t="n">
        <v>2014</v>
      </c>
      <c r="E91" s="21"/>
      <c r="F91" s="21" t="n">
        <v>46.36</v>
      </c>
      <c r="G91" s="21" t="n">
        <v>87.2</v>
      </c>
    </row>
    <row r="92" customFormat="false" ht="15" hidden="false" customHeight="false" outlineLevel="0" collapsed="false">
      <c r="B92" s="18" t="s">
        <v>45</v>
      </c>
      <c r="C92" s="19" t="s">
        <v>46</v>
      </c>
      <c r="D92" s="20" t="n">
        <v>2015</v>
      </c>
      <c r="E92" s="21"/>
      <c r="F92" s="21" t="n">
        <v>43.76</v>
      </c>
      <c r="G92" s="21" t="n">
        <v>89.63</v>
      </c>
    </row>
    <row r="93" customFormat="false" ht="15" hidden="false" customHeight="false" outlineLevel="0" collapsed="false">
      <c r="B93" s="18" t="s">
        <v>45</v>
      </c>
      <c r="C93" s="19" t="s">
        <v>46</v>
      </c>
      <c r="D93" s="20" t="n">
        <v>2016</v>
      </c>
      <c r="E93" s="21"/>
      <c r="F93" s="21" t="n">
        <v>41.32</v>
      </c>
      <c r="G93" s="21" t="n">
        <v>91.03</v>
      </c>
    </row>
    <row r="94" customFormat="false" ht="15" hidden="false" customHeight="false" outlineLevel="0" collapsed="false">
      <c r="B94" s="18" t="s">
        <v>45</v>
      </c>
      <c r="C94" s="19" t="s">
        <v>46</v>
      </c>
      <c r="D94" s="20" t="n">
        <v>2017</v>
      </c>
      <c r="E94" s="21"/>
      <c r="F94" s="21" t="n">
        <v>39.03</v>
      </c>
      <c r="G94" s="21" t="n">
        <v>92.93</v>
      </c>
    </row>
    <row r="95" customFormat="false" ht="15" hidden="false" customHeight="false" outlineLevel="0" collapsed="false">
      <c r="B95" s="18" t="s">
        <v>45</v>
      </c>
      <c r="C95" s="19" t="s">
        <v>46</v>
      </c>
      <c r="D95" s="20" t="n">
        <v>2018</v>
      </c>
      <c r="E95" s="21"/>
      <c r="F95" s="21" t="n">
        <v>36.87</v>
      </c>
      <c r="G95" s="21" t="n">
        <v>96.23</v>
      </c>
    </row>
    <row r="96" customFormat="false" ht="15" hidden="false" customHeight="false" outlineLevel="0" collapsed="false">
      <c r="B96" s="18" t="s">
        <v>45</v>
      </c>
      <c r="C96" s="19" t="s">
        <v>46</v>
      </c>
      <c r="D96" s="20" t="n">
        <v>2019</v>
      </c>
      <c r="E96" s="21"/>
      <c r="F96" s="21" t="n">
        <v>34.87</v>
      </c>
      <c r="G96" s="21" t="n">
        <v>96.5</v>
      </c>
    </row>
    <row r="97" customFormat="false" ht="15" hidden="false" customHeight="false" outlineLevel="0" collapsed="false">
      <c r="B97" s="18" t="s">
        <v>45</v>
      </c>
      <c r="C97" s="19" t="s">
        <v>46</v>
      </c>
      <c r="D97" s="20" t="n">
        <v>2020</v>
      </c>
      <c r="E97" s="21"/>
      <c r="F97" s="21" t="n">
        <v>32.98</v>
      </c>
      <c r="G97" s="21" t="n">
        <v>96.9</v>
      </c>
    </row>
    <row r="98" customFormat="false" ht="15" hidden="false" customHeight="false" outlineLevel="0" collapsed="false">
      <c r="B98" s="18" t="s">
        <v>45</v>
      </c>
      <c r="C98" s="19" t="s">
        <v>46</v>
      </c>
      <c r="D98" s="20" t="n">
        <v>2021</v>
      </c>
      <c r="E98" s="21"/>
      <c r="F98" s="21" t="n">
        <v>31.2</v>
      </c>
      <c r="G98" s="21" t="n">
        <v>99.63</v>
      </c>
    </row>
    <row r="99" customFormat="false" ht="15" hidden="false" customHeight="false" outlineLevel="0" collapsed="false">
      <c r="B99" s="18" t="s">
        <v>45</v>
      </c>
      <c r="C99" s="19" t="s">
        <v>46</v>
      </c>
      <c r="D99" s="20" t="n">
        <v>2022</v>
      </c>
      <c r="E99" s="21"/>
      <c r="F99" s="21" t="n">
        <v>29.54</v>
      </c>
      <c r="G99" s="21" t="n">
        <v>99.43</v>
      </c>
    </row>
    <row r="100" customFormat="false" ht="15" hidden="false" customHeight="false" outlineLevel="0" collapsed="false">
      <c r="B100" s="18" t="s">
        <v>45</v>
      </c>
      <c r="C100" s="19" t="s">
        <v>46</v>
      </c>
      <c r="D100" s="20" t="n">
        <v>2023</v>
      </c>
      <c r="E100" s="21"/>
      <c r="F100" s="21" t="n">
        <v>27.99</v>
      </c>
      <c r="G100" s="21" t="n">
        <v>99.57</v>
      </c>
    </row>
    <row r="101" customFormat="false" ht="15" hidden="false" customHeight="false" outlineLevel="0" collapsed="false">
      <c r="B101" s="14" t="s">
        <v>47</v>
      </c>
      <c r="C101" s="15" t="s">
        <v>48</v>
      </c>
      <c r="D101" s="16" t="n">
        <v>2000</v>
      </c>
      <c r="E101" s="17" t="n">
        <v>65.09</v>
      </c>
      <c r="F101" s="17" t="n">
        <v>177.14</v>
      </c>
      <c r="G101" s="17" t="n">
        <v>49.5</v>
      </c>
    </row>
    <row r="102" customFormat="false" ht="15" hidden="false" customHeight="false" outlineLevel="0" collapsed="false">
      <c r="B102" s="14" t="s">
        <v>47</v>
      </c>
      <c r="C102" s="15" t="s">
        <v>48</v>
      </c>
      <c r="D102" s="16" t="n">
        <v>2001</v>
      </c>
      <c r="E102" s="17"/>
      <c r="F102" s="17" t="n">
        <v>170.41</v>
      </c>
      <c r="G102" s="17" t="n">
        <v>49.83</v>
      </c>
    </row>
    <row r="103" customFormat="false" ht="15" hidden="false" customHeight="false" outlineLevel="0" collapsed="false">
      <c r="B103" s="14" t="s">
        <v>47</v>
      </c>
      <c r="C103" s="15" t="s">
        <v>48</v>
      </c>
      <c r="D103" s="16" t="n">
        <v>2002</v>
      </c>
      <c r="E103" s="17"/>
      <c r="F103" s="17" t="n">
        <v>163.75</v>
      </c>
      <c r="G103" s="17" t="n">
        <v>50.17</v>
      </c>
    </row>
    <row r="104" customFormat="false" ht="15" hidden="false" customHeight="false" outlineLevel="0" collapsed="false">
      <c r="B104" s="14" t="s">
        <v>47</v>
      </c>
      <c r="C104" s="15" t="s">
        <v>48</v>
      </c>
      <c r="D104" s="16" t="n">
        <v>2003</v>
      </c>
      <c r="E104" s="17"/>
      <c r="F104" s="17" t="n">
        <v>157.28</v>
      </c>
      <c r="G104" s="17" t="n">
        <v>56.6</v>
      </c>
    </row>
    <row r="105" customFormat="false" ht="15" hidden="false" customHeight="false" outlineLevel="0" collapsed="false">
      <c r="B105" s="14" t="s">
        <v>47</v>
      </c>
      <c r="C105" s="15" t="s">
        <v>48</v>
      </c>
      <c r="D105" s="16" t="n">
        <v>2004</v>
      </c>
      <c r="E105" s="17" t="n">
        <v>66.4</v>
      </c>
      <c r="F105" s="17" t="n">
        <v>151.25</v>
      </c>
      <c r="G105" s="17" t="n">
        <v>50.9</v>
      </c>
    </row>
    <row r="106" customFormat="false" ht="15" hidden="false" customHeight="false" outlineLevel="0" collapsed="false">
      <c r="B106" s="14" t="s">
        <v>47</v>
      </c>
      <c r="C106" s="15" t="s">
        <v>48</v>
      </c>
      <c r="D106" s="16" t="n">
        <v>2005</v>
      </c>
      <c r="E106" s="17" t="n">
        <v>66.85</v>
      </c>
      <c r="F106" s="17" t="n">
        <v>145.74</v>
      </c>
      <c r="G106" s="17" t="n">
        <v>51.23</v>
      </c>
    </row>
    <row r="107" customFormat="false" ht="15" hidden="false" customHeight="false" outlineLevel="0" collapsed="false">
      <c r="B107" s="14" t="s">
        <v>47</v>
      </c>
      <c r="C107" s="15" t="s">
        <v>48</v>
      </c>
      <c r="D107" s="16" t="n">
        <v>2006</v>
      </c>
      <c r="E107" s="17" t="n">
        <v>67.34</v>
      </c>
      <c r="F107" s="17" t="n">
        <v>140.72</v>
      </c>
      <c r="G107" s="17" t="n">
        <v>51.67</v>
      </c>
    </row>
    <row r="108" customFormat="false" ht="15" hidden="false" customHeight="false" outlineLevel="0" collapsed="false">
      <c r="B108" s="14" t="s">
        <v>47</v>
      </c>
      <c r="C108" s="15" t="s">
        <v>48</v>
      </c>
      <c r="D108" s="16" t="n">
        <v>2007</v>
      </c>
      <c r="E108" s="17" t="n">
        <v>70.31</v>
      </c>
      <c r="F108" s="17" t="n">
        <v>136.32</v>
      </c>
      <c r="G108" s="17" t="n">
        <v>53.87</v>
      </c>
    </row>
    <row r="109" customFormat="false" ht="15" hidden="false" customHeight="false" outlineLevel="0" collapsed="false">
      <c r="B109" s="14" t="s">
        <v>47</v>
      </c>
      <c r="C109" s="15" t="s">
        <v>48</v>
      </c>
      <c r="D109" s="16" t="n">
        <v>2008</v>
      </c>
      <c r="E109" s="17" t="n">
        <v>63.4</v>
      </c>
      <c r="F109" s="17" t="n">
        <v>132.46</v>
      </c>
      <c r="G109" s="17" t="n">
        <v>53.57</v>
      </c>
    </row>
    <row r="110" customFormat="false" ht="15" hidden="false" customHeight="false" outlineLevel="0" collapsed="false">
      <c r="B110" s="14" t="s">
        <v>47</v>
      </c>
      <c r="C110" s="15" t="s">
        <v>48</v>
      </c>
      <c r="D110" s="16" t="n">
        <v>2009</v>
      </c>
      <c r="E110" s="17" t="n">
        <v>64.34</v>
      </c>
      <c r="F110" s="17" t="n">
        <v>129.11</v>
      </c>
      <c r="G110" s="17" t="n">
        <v>52.9</v>
      </c>
    </row>
    <row r="111" customFormat="false" ht="15" hidden="false" customHeight="false" outlineLevel="0" collapsed="false">
      <c r="B111" s="14" t="s">
        <v>47</v>
      </c>
      <c r="C111" s="15" t="s">
        <v>48</v>
      </c>
      <c r="D111" s="16" t="n">
        <v>2010</v>
      </c>
      <c r="E111" s="17" t="n">
        <v>64.14</v>
      </c>
      <c r="F111" s="17" t="n">
        <v>126.22</v>
      </c>
      <c r="G111" s="17" t="n">
        <v>50.43</v>
      </c>
    </row>
    <row r="112" customFormat="false" ht="15" hidden="false" customHeight="false" outlineLevel="0" collapsed="false">
      <c r="B112" s="14" t="s">
        <v>47</v>
      </c>
      <c r="C112" s="15" t="s">
        <v>48</v>
      </c>
      <c r="D112" s="16" t="n">
        <v>2011</v>
      </c>
      <c r="E112" s="17"/>
      <c r="F112" s="17" t="n">
        <v>123.7</v>
      </c>
      <c r="G112" s="17" t="n">
        <v>58</v>
      </c>
    </row>
    <row r="113" customFormat="false" ht="15" hidden="false" customHeight="false" outlineLevel="0" collapsed="false">
      <c r="B113" s="14" t="s">
        <v>47</v>
      </c>
      <c r="C113" s="15" t="s">
        <v>48</v>
      </c>
      <c r="D113" s="16" t="n">
        <v>2012</v>
      </c>
      <c r="E113" s="17"/>
      <c r="F113" s="17" t="n">
        <v>121.54</v>
      </c>
      <c r="G113" s="17" t="n">
        <v>54.83</v>
      </c>
    </row>
    <row r="114" customFormat="false" ht="15" hidden="false" customHeight="false" outlineLevel="0" collapsed="false">
      <c r="B114" s="14" t="s">
        <v>47</v>
      </c>
      <c r="C114" s="15" t="s">
        <v>48</v>
      </c>
      <c r="D114" s="16" t="n">
        <v>2013</v>
      </c>
      <c r="E114" s="17"/>
      <c r="F114" s="17" t="n">
        <v>119.84</v>
      </c>
      <c r="G114" s="17" t="n">
        <v>56.93</v>
      </c>
    </row>
    <row r="115" customFormat="false" ht="15" hidden="false" customHeight="false" outlineLevel="0" collapsed="false">
      <c r="B115" s="14" t="s">
        <v>47</v>
      </c>
      <c r="C115" s="15" t="s">
        <v>48</v>
      </c>
      <c r="D115" s="16" t="n">
        <v>2014</v>
      </c>
      <c r="E115" s="17"/>
      <c r="F115" s="17" t="n">
        <v>118.57</v>
      </c>
      <c r="G115" s="17" t="n">
        <v>55.33</v>
      </c>
    </row>
    <row r="116" customFormat="false" ht="15" hidden="false" customHeight="false" outlineLevel="0" collapsed="false">
      <c r="B116" s="14" t="s">
        <v>47</v>
      </c>
      <c r="C116" s="15" t="s">
        <v>48</v>
      </c>
      <c r="D116" s="16" t="n">
        <v>2015</v>
      </c>
      <c r="E116" s="17"/>
      <c r="F116" s="17" t="n">
        <v>117.72</v>
      </c>
      <c r="G116" s="17" t="n">
        <v>53.3</v>
      </c>
    </row>
    <row r="117" customFormat="false" ht="15" hidden="false" customHeight="false" outlineLevel="0" collapsed="false">
      <c r="B117" s="14" t="s">
        <v>47</v>
      </c>
      <c r="C117" s="15" t="s">
        <v>48</v>
      </c>
      <c r="D117" s="16" t="n">
        <v>2016</v>
      </c>
      <c r="E117" s="17"/>
      <c r="F117" s="17" t="n">
        <v>117.26</v>
      </c>
      <c r="G117" s="17" t="n">
        <v>59.77</v>
      </c>
    </row>
    <row r="118" customFormat="false" ht="15" hidden="false" customHeight="false" outlineLevel="0" collapsed="false">
      <c r="B118" s="14" t="s">
        <v>47</v>
      </c>
      <c r="C118" s="15" t="s">
        <v>48</v>
      </c>
      <c r="D118" s="16" t="n">
        <v>2017</v>
      </c>
      <c r="E118" s="17"/>
      <c r="F118" s="17" t="n">
        <v>117.07</v>
      </c>
      <c r="G118" s="17" t="n">
        <v>54.6</v>
      </c>
    </row>
    <row r="119" customFormat="false" ht="15" hidden="false" customHeight="false" outlineLevel="0" collapsed="false">
      <c r="B119" s="14" t="s">
        <v>47</v>
      </c>
      <c r="C119" s="15" t="s">
        <v>48</v>
      </c>
      <c r="D119" s="16" t="n">
        <v>2018</v>
      </c>
      <c r="E119" s="17"/>
      <c r="F119" s="17" t="n">
        <v>117.09</v>
      </c>
      <c r="G119" s="17" t="n">
        <v>56.4</v>
      </c>
    </row>
    <row r="120" customFormat="false" ht="15" hidden="false" customHeight="false" outlineLevel="0" collapsed="false">
      <c r="B120" s="14" t="s">
        <v>47</v>
      </c>
      <c r="C120" s="15" t="s">
        <v>48</v>
      </c>
      <c r="D120" s="16" t="n">
        <v>2019</v>
      </c>
      <c r="E120" s="17"/>
      <c r="F120" s="17" t="n">
        <v>117.22</v>
      </c>
      <c r="G120" s="17" t="n">
        <v>54.93</v>
      </c>
    </row>
    <row r="121" customFormat="false" ht="15" hidden="false" customHeight="false" outlineLevel="0" collapsed="false">
      <c r="B121" s="14" t="s">
        <v>47</v>
      </c>
      <c r="C121" s="15" t="s">
        <v>48</v>
      </c>
      <c r="D121" s="16" t="n">
        <v>2020</v>
      </c>
      <c r="E121" s="17"/>
      <c r="F121" s="17" t="n">
        <v>117.3</v>
      </c>
      <c r="G121" s="17" t="n">
        <v>54.63</v>
      </c>
    </row>
    <row r="122" customFormat="false" ht="15" hidden="false" customHeight="false" outlineLevel="0" collapsed="false">
      <c r="B122" s="14" t="s">
        <v>47</v>
      </c>
      <c r="C122" s="15" t="s">
        <v>48</v>
      </c>
      <c r="D122" s="16" t="n">
        <v>2021</v>
      </c>
      <c r="E122" s="17"/>
      <c r="F122" s="17" t="n">
        <v>117.41</v>
      </c>
      <c r="G122" s="17" t="n">
        <v>58.33</v>
      </c>
    </row>
    <row r="123" customFormat="false" ht="15" hidden="false" customHeight="false" outlineLevel="0" collapsed="false">
      <c r="B123" s="14" t="s">
        <v>47</v>
      </c>
      <c r="C123" s="15" t="s">
        <v>48</v>
      </c>
      <c r="D123" s="16" t="n">
        <v>2022</v>
      </c>
      <c r="E123" s="17"/>
      <c r="F123" s="17" t="n">
        <v>117.31</v>
      </c>
      <c r="G123" s="17" t="n">
        <v>58.83</v>
      </c>
    </row>
    <row r="124" customFormat="false" ht="15" hidden="false" customHeight="false" outlineLevel="0" collapsed="false">
      <c r="B124" s="14" t="s">
        <v>47</v>
      </c>
      <c r="C124" s="15" t="s">
        <v>48</v>
      </c>
      <c r="D124" s="16" t="n">
        <v>2023</v>
      </c>
      <c r="E124" s="17"/>
      <c r="F124" s="17" t="n">
        <v>116.74</v>
      </c>
      <c r="G124" s="17" t="n">
        <v>59.7</v>
      </c>
    </row>
    <row r="125" customFormat="false" ht="15" hidden="false" customHeight="false" outlineLevel="0" collapsed="false">
      <c r="B125" s="18" t="s">
        <v>49</v>
      </c>
      <c r="C125" s="19" t="s">
        <v>50</v>
      </c>
      <c r="D125" s="20" t="n">
        <v>2000</v>
      </c>
      <c r="E125" s="21"/>
      <c r="F125" s="21" t="n">
        <v>184.03</v>
      </c>
      <c r="G125" s="21" t="n">
        <v>22.55</v>
      </c>
    </row>
    <row r="126" customFormat="false" ht="15" hidden="false" customHeight="false" outlineLevel="0" collapsed="false">
      <c r="B126" s="18" t="s">
        <v>49</v>
      </c>
      <c r="C126" s="19" t="s">
        <v>50</v>
      </c>
      <c r="D126" s="20" t="n">
        <v>2001</v>
      </c>
      <c r="E126" s="21"/>
      <c r="F126" s="21" t="n">
        <v>166.45</v>
      </c>
      <c r="G126" s="21" t="n">
        <v>20.3</v>
      </c>
    </row>
    <row r="127" customFormat="false" ht="15" hidden="false" customHeight="false" outlineLevel="0" collapsed="false">
      <c r="B127" s="18" t="s">
        <v>49</v>
      </c>
      <c r="C127" s="19" t="s">
        <v>50</v>
      </c>
      <c r="D127" s="20" t="n">
        <v>2002</v>
      </c>
      <c r="E127" s="21" t="n">
        <v>81.18</v>
      </c>
      <c r="F127" s="21" t="n">
        <v>148.96</v>
      </c>
      <c r="G127" s="21" t="n">
        <v>22.1</v>
      </c>
    </row>
    <row r="128" customFormat="false" ht="15" hidden="false" customHeight="false" outlineLevel="0" collapsed="false">
      <c r="B128" s="18" t="s">
        <v>49</v>
      </c>
      <c r="C128" s="19" t="s">
        <v>50</v>
      </c>
      <c r="D128" s="20" t="n">
        <v>2003</v>
      </c>
      <c r="E128" s="21" t="n">
        <v>85.5</v>
      </c>
      <c r="F128" s="21" t="n">
        <v>132.62</v>
      </c>
      <c r="G128" s="21" t="n">
        <v>16.17</v>
      </c>
    </row>
    <row r="129" customFormat="false" ht="15" hidden="false" customHeight="false" outlineLevel="0" collapsed="false">
      <c r="B129" s="18" t="s">
        <v>49</v>
      </c>
      <c r="C129" s="19" t="s">
        <v>50</v>
      </c>
      <c r="D129" s="20" t="n">
        <v>2004</v>
      </c>
      <c r="E129" s="21"/>
      <c r="F129" s="21" t="n">
        <v>117.42</v>
      </c>
      <c r="G129" s="21" t="n">
        <v>17.8</v>
      </c>
    </row>
    <row r="130" customFormat="false" ht="15" hidden="false" customHeight="false" outlineLevel="0" collapsed="false">
      <c r="B130" s="18" t="s">
        <v>49</v>
      </c>
      <c r="C130" s="19" t="s">
        <v>50</v>
      </c>
      <c r="D130" s="20" t="n">
        <v>2005</v>
      </c>
      <c r="E130" s="21"/>
      <c r="F130" s="21" t="n">
        <v>104.35</v>
      </c>
      <c r="G130" s="21" t="n">
        <v>10.2</v>
      </c>
    </row>
    <row r="131" customFormat="false" ht="15" hidden="false" customHeight="false" outlineLevel="0" collapsed="false">
      <c r="B131" s="18" t="s">
        <v>49</v>
      </c>
      <c r="C131" s="19" t="s">
        <v>50</v>
      </c>
      <c r="D131" s="20" t="n">
        <v>2006</v>
      </c>
      <c r="E131" s="21"/>
      <c r="F131" s="21" t="n">
        <v>93.27</v>
      </c>
      <c r="G131" s="21" t="n">
        <v>21</v>
      </c>
    </row>
    <row r="132" customFormat="false" ht="15" hidden="false" customHeight="false" outlineLevel="0" collapsed="false">
      <c r="B132" s="18" t="s">
        <v>49</v>
      </c>
      <c r="C132" s="19" t="s">
        <v>50</v>
      </c>
      <c r="D132" s="20" t="n">
        <v>2007</v>
      </c>
      <c r="E132" s="21"/>
      <c r="F132" s="21" t="n">
        <v>84.03</v>
      </c>
      <c r="G132" s="21" t="n">
        <v>22.67</v>
      </c>
    </row>
    <row r="133" customFormat="false" ht="15" hidden="false" customHeight="false" outlineLevel="0" collapsed="false">
      <c r="B133" s="18" t="s">
        <v>49</v>
      </c>
      <c r="C133" s="19" t="s">
        <v>50</v>
      </c>
      <c r="D133" s="20" t="n">
        <v>2008</v>
      </c>
      <c r="E133" s="21"/>
      <c r="F133" s="21" t="n">
        <v>75.93</v>
      </c>
      <c r="G133" s="21" t="n">
        <v>11.87</v>
      </c>
    </row>
    <row r="134" customFormat="false" ht="15" hidden="false" customHeight="false" outlineLevel="0" collapsed="false">
      <c r="B134" s="18" t="s">
        <v>49</v>
      </c>
      <c r="C134" s="19" t="s">
        <v>50</v>
      </c>
      <c r="D134" s="20" t="n">
        <v>2009</v>
      </c>
      <c r="E134" s="21"/>
      <c r="F134" s="21" t="n">
        <v>69.05</v>
      </c>
      <c r="G134" s="21" t="n">
        <v>26.03</v>
      </c>
    </row>
    <row r="135" customFormat="false" ht="15" hidden="false" customHeight="false" outlineLevel="0" collapsed="false">
      <c r="B135" s="18" t="s">
        <v>49</v>
      </c>
      <c r="C135" s="19" t="s">
        <v>50</v>
      </c>
      <c r="D135" s="20" t="n">
        <v>2010</v>
      </c>
      <c r="E135" s="21"/>
      <c r="F135" s="21" t="n">
        <v>63.21</v>
      </c>
      <c r="G135" s="21" t="n">
        <v>18.93</v>
      </c>
    </row>
    <row r="136" customFormat="false" ht="15" hidden="false" customHeight="false" outlineLevel="0" collapsed="false">
      <c r="B136" s="18" t="s">
        <v>49</v>
      </c>
      <c r="C136" s="19" t="s">
        <v>50</v>
      </c>
      <c r="D136" s="20" t="n">
        <v>2011</v>
      </c>
      <c r="E136" s="21"/>
      <c r="F136" s="21" t="n">
        <v>58</v>
      </c>
      <c r="G136" s="21" t="n">
        <v>23.37</v>
      </c>
    </row>
    <row r="137" customFormat="false" ht="15" hidden="false" customHeight="false" outlineLevel="0" collapsed="false">
      <c r="B137" s="18" t="s">
        <v>49</v>
      </c>
      <c r="C137" s="19" t="s">
        <v>50</v>
      </c>
      <c r="D137" s="20" t="n">
        <v>2012</v>
      </c>
      <c r="E137" s="21"/>
      <c r="F137" s="21" t="n">
        <v>54.21</v>
      </c>
      <c r="G137" s="21" t="n">
        <v>30.8</v>
      </c>
    </row>
    <row r="138" customFormat="false" ht="15" hidden="false" customHeight="false" outlineLevel="0" collapsed="false">
      <c r="B138" s="18" t="s">
        <v>49</v>
      </c>
      <c r="C138" s="19" t="s">
        <v>50</v>
      </c>
      <c r="D138" s="20" t="n">
        <v>2013</v>
      </c>
      <c r="E138" s="21"/>
      <c r="F138" s="21" t="n">
        <v>51.35</v>
      </c>
      <c r="G138" s="21" t="n">
        <v>27.5</v>
      </c>
    </row>
    <row r="139" customFormat="false" ht="15" hidden="false" customHeight="false" outlineLevel="0" collapsed="false">
      <c r="B139" s="18" t="s">
        <v>49</v>
      </c>
      <c r="C139" s="19" t="s">
        <v>50</v>
      </c>
      <c r="D139" s="20" t="n">
        <v>2014</v>
      </c>
      <c r="E139" s="21"/>
      <c r="F139" s="21" t="n">
        <v>49.09</v>
      </c>
      <c r="G139" s="21" t="n">
        <v>33.6</v>
      </c>
    </row>
    <row r="140" customFormat="false" ht="15" hidden="false" customHeight="false" outlineLevel="0" collapsed="false">
      <c r="B140" s="18" t="s">
        <v>49</v>
      </c>
      <c r="C140" s="19" t="s">
        <v>50</v>
      </c>
      <c r="D140" s="20" t="n">
        <v>2015</v>
      </c>
      <c r="E140" s="21"/>
      <c r="F140" s="21" t="n">
        <v>47.21</v>
      </c>
      <c r="G140" s="21" t="n">
        <v>36.07</v>
      </c>
    </row>
    <row r="141" customFormat="false" ht="15" hidden="false" customHeight="false" outlineLevel="0" collapsed="false">
      <c r="B141" s="18" t="s">
        <v>49</v>
      </c>
      <c r="C141" s="19" t="s">
        <v>50</v>
      </c>
      <c r="D141" s="20" t="n">
        <v>2016</v>
      </c>
      <c r="E141" s="21" t="n">
        <v>98.84</v>
      </c>
      <c r="F141" s="21" t="n">
        <v>45.71</v>
      </c>
      <c r="G141" s="21" t="n">
        <v>42.8</v>
      </c>
    </row>
    <row r="142" customFormat="false" ht="15" hidden="false" customHeight="false" outlineLevel="0" collapsed="false">
      <c r="B142" s="18" t="s">
        <v>49</v>
      </c>
      <c r="C142" s="19" t="s">
        <v>50</v>
      </c>
      <c r="D142" s="20" t="n">
        <v>2017</v>
      </c>
      <c r="E142" s="21" t="n">
        <v>96.93</v>
      </c>
      <c r="F142" s="21" t="n">
        <v>44.61</v>
      </c>
      <c r="G142" s="21" t="n">
        <v>47.5</v>
      </c>
    </row>
    <row r="143" customFormat="false" ht="15" hidden="false" customHeight="false" outlineLevel="0" collapsed="false">
      <c r="B143" s="18" t="s">
        <v>49</v>
      </c>
      <c r="C143" s="19" t="s">
        <v>50</v>
      </c>
      <c r="D143" s="20" t="n">
        <v>2018</v>
      </c>
      <c r="E143" s="21" t="n">
        <v>94.79</v>
      </c>
      <c r="F143" s="21" t="n">
        <v>43.61</v>
      </c>
      <c r="G143" s="21" t="n">
        <v>50.6</v>
      </c>
    </row>
    <row r="144" customFormat="false" ht="15" hidden="false" customHeight="false" outlineLevel="0" collapsed="false">
      <c r="B144" s="18" t="s">
        <v>49</v>
      </c>
      <c r="C144" s="19" t="s">
        <v>50</v>
      </c>
      <c r="D144" s="20" t="n">
        <v>2019</v>
      </c>
      <c r="E144" s="21"/>
      <c r="F144" s="21" t="n">
        <v>42.6</v>
      </c>
      <c r="G144" s="21" t="n">
        <v>57.1</v>
      </c>
    </row>
    <row r="145" customFormat="false" ht="15" hidden="false" customHeight="false" outlineLevel="0" collapsed="false">
      <c r="B145" s="18" t="s">
        <v>49</v>
      </c>
      <c r="C145" s="19" t="s">
        <v>50</v>
      </c>
      <c r="D145" s="20" t="n">
        <v>2020</v>
      </c>
      <c r="E145" s="21"/>
      <c r="F145" s="21" t="n">
        <v>41.53</v>
      </c>
      <c r="G145" s="21" t="n">
        <v>58</v>
      </c>
    </row>
    <row r="146" customFormat="false" ht="15" hidden="false" customHeight="false" outlineLevel="0" collapsed="false">
      <c r="B146" s="18" t="s">
        <v>49</v>
      </c>
      <c r="C146" s="19" t="s">
        <v>50</v>
      </c>
      <c r="D146" s="20" t="n">
        <v>2021</v>
      </c>
      <c r="E146" s="21"/>
      <c r="F146" s="21" t="n">
        <v>40.51</v>
      </c>
      <c r="G146" s="21" t="n">
        <v>61.63</v>
      </c>
    </row>
    <row r="147" customFormat="false" ht="15" hidden="false" customHeight="false" outlineLevel="0" collapsed="false">
      <c r="B147" s="18" t="s">
        <v>49</v>
      </c>
      <c r="C147" s="19" t="s">
        <v>50</v>
      </c>
      <c r="D147" s="20" t="n">
        <v>2022</v>
      </c>
      <c r="E147" s="21"/>
      <c r="F147" s="21" t="n">
        <v>39.62</v>
      </c>
      <c r="G147" s="21" t="n">
        <v>62.27</v>
      </c>
    </row>
    <row r="148" customFormat="false" ht="15" hidden="false" customHeight="false" outlineLevel="0" collapsed="false">
      <c r="B148" s="18" t="s">
        <v>49</v>
      </c>
      <c r="C148" s="19" t="s">
        <v>50</v>
      </c>
      <c r="D148" s="20" t="n">
        <v>2023</v>
      </c>
      <c r="E148" s="21"/>
      <c r="F148" s="21" t="n">
        <v>38.73</v>
      </c>
      <c r="G148" s="21" t="n">
        <v>73.9</v>
      </c>
    </row>
    <row r="150" customFormat="false" ht="27.75" hidden="false" customHeight="true" outlineLevel="0" collapsed="false">
      <c r="B150" s="10" t="s">
        <v>51</v>
      </c>
      <c r="C150" s="10"/>
      <c r="D150" s="10"/>
      <c r="E150" s="10"/>
      <c r="F150" s="10"/>
      <c r="G150" s="10"/>
    </row>
  </sheetData>
  <mergeCells count="2">
    <mergeCell ref="B2:G2"/>
    <mergeCell ref="B150:G1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3"/>
    <col collapsed="false" customWidth="true" hidden="false" outlineLevel="0" max="4" min="4" style="0" width="46"/>
  </cols>
  <sheetData>
    <row r="2" customFormat="false" ht="25.5" hidden="false" customHeight="true" outlineLevel="0" collapsed="false">
      <c r="B2" s="11" t="s">
        <v>52</v>
      </c>
      <c r="C2" s="11"/>
      <c r="D2" s="11"/>
    </row>
    <row r="4" customFormat="false" ht="15" hidden="false" customHeight="false" outlineLevel="0" collapsed="false">
      <c r="B4" s="12" t="s">
        <v>53</v>
      </c>
      <c r="C4" s="13" t="s">
        <v>54</v>
      </c>
      <c r="D4" s="12" t="s">
        <v>55</v>
      </c>
    </row>
    <row r="5" customFormat="false" ht="27.75" hidden="false" customHeight="true" outlineLevel="0" collapsed="false">
      <c r="B5" s="22" t="s">
        <v>56</v>
      </c>
      <c r="C5" s="23" t="n">
        <f aca="false">CORREL(Data!E5:E148,Data!F5:F148)</f>
        <v>-0.730454120945762</v>
      </c>
      <c r="D5" s="24" t="s">
        <v>57</v>
      </c>
    </row>
    <row r="6" customFormat="false" ht="27.75" hidden="false" customHeight="true" outlineLevel="0" collapsed="false">
      <c r="B6" s="25" t="s">
        <v>58</v>
      </c>
      <c r="C6" s="26" t="n">
        <f aca="false">CORREL(Data!E5:E148,Data!G5:G148)</f>
        <v>0.530515345097593</v>
      </c>
      <c r="D6" s="27" t="s">
        <v>59</v>
      </c>
    </row>
    <row r="7" customFormat="false" ht="27.75" hidden="false" customHeight="true" outlineLevel="0" collapsed="false">
      <c r="B7" s="22" t="s">
        <v>60</v>
      </c>
      <c r="C7" s="23" t="n">
        <f aca="false">CORREL(Data!F5:F148,Data!G5:G148)</f>
        <v>-0.577321852587535</v>
      </c>
      <c r="D7" s="24" t="s">
        <v>61</v>
      </c>
    </row>
    <row r="9" customFormat="false" ht="72" hidden="false" customHeight="true" outlineLevel="0" collapsed="false">
      <c r="B9" s="28" t="s">
        <v>62</v>
      </c>
      <c r="C9" s="28"/>
      <c r="D9" s="28"/>
    </row>
  </sheetData>
  <mergeCells count="2">
    <mergeCell ref="B2:D2"/>
    <mergeCell ref="B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9"/>
    <col collapsed="false" customWidth="true" hidden="false" outlineLevel="0" max="4" min="4" style="0" width="7"/>
    <col collapsed="false" customWidth="true" hidden="false" outlineLevel="0" max="5" min="5" style="0" width="9"/>
    <col collapsed="false" customWidth="true" hidden="false" outlineLevel="0" max="6" min="6" style="0" width="7"/>
    <col collapsed="false" customWidth="true" hidden="false" outlineLevel="0" max="11" min="7" style="0" width="9"/>
    <col collapsed="false" customWidth="true" hidden="false" outlineLevel="0" max="12" min="12" style="0" width="7"/>
  </cols>
  <sheetData>
    <row r="2" customFormat="false" ht="25.5" hidden="false" customHeight="true" outlineLevel="0" collapsed="false">
      <c r="B2" s="11" t="s">
        <v>63</v>
      </c>
      <c r="C2" s="11"/>
      <c r="D2" s="11"/>
      <c r="E2" s="11"/>
      <c r="F2" s="11"/>
      <c r="G2" s="11"/>
      <c r="H2" s="11"/>
      <c r="I2" s="11"/>
      <c r="J2" s="11"/>
      <c r="K2" s="11"/>
      <c r="L2" s="11"/>
    </row>
    <row r="4" customFormat="false" ht="19.5" hidden="false" customHeight="true" outlineLevel="0" collapsed="false">
      <c r="B4" s="29" t="s">
        <v>64</v>
      </c>
      <c r="C4" s="29"/>
      <c r="D4" s="29"/>
      <c r="E4" s="29"/>
      <c r="F4" s="29"/>
      <c r="G4" s="29"/>
      <c r="H4" s="29"/>
      <c r="I4" s="29"/>
      <c r="J4" s="29"/>
      <c r="K4" s="29"/>
      <c r="L4" s="29"/>
    </row>
    <row r="5" customFormat="false" ht="15" hidden="false" customHeight="false" outlineLevel="0" collapsed="false">
      <c r="B5" s="30" t="s">
        <v>33</v>
      </c>
      <c r="C5" s="30" t="s">
        <v>65</v>
      </c>
      <c r="D5" s="30" t="s">
        <v>66</v>
      </c>
      <c r="E5" s="30" t="s">
        <v>67</v>
      </c>
      <c r="F5" s="30" t="s">
        <v>66</v>
      </c>
      <c r="G5" s="30" t="s">
        <v>68</v>
      </c>
      <c r="H5" s="30" t="s">
        <v>69</v>
      </c>
      <c r="I5" s="30" t="s">
        <v>70</v>
      </c>
      <c r="J5" s="30" t="s">
        <v>71</v>
      </c>
    </row>
    <row r="6" customFormat="false" ht="15" hidden="false" customHeight="false" outlineLevel="0" collapsed="false">
      <c r="B6" s="31" t="s">
        <v>39</v>
      </c>
      <c r="C6" s="32" t="n">
        <f aca="false">Data!E10</f>
        <v>93.69</v>
      </c>
      <c r="D6" s="33" t="n">
        <f aca="false">Data!D10</f>
        <v>2005</v>
      </c>
      <c r="E6" s="32" t="n">
        <f aca="false">Data!E15</f>
        <v>90.53</v>
      </c>
      <c r="F6" s="33" t="n">
        <f aca="false">Data!D15</f>
        <v>2010</v>
      </c>
      <c r="G6" s="34" t="n">
        <f aca="false">(E6-C6)/(F6-D6)</f>
        <v>-0.631999999999999</v>
      </c>
      <c r="H6" s="32" t="n">
        <f aca="false">Data!F5</f>
        <v>85.45</v>
      </c>
      <c r="I6" s="32" t="n">
        <f aca="false">Data!F28</f>
        <v>30.56</v>
      </c>
      <c r="J6" s="35" t="n">
        <f aca="false">(H6-I6)/H6</f>
        <v>0.642363955529549</v>
      </c>
    </row>
    <row r="7" customFormat="false" ht="15" hidden="false" customHeight="false" outlineLevel="0" collapsed="false">
      <c r="B7" s="36" t="s">
        <v>41</v>
      </c>
      <c r="C7" s="37" t="n">
        <f aca="false">Data!E29</f>
        <v>40.17</v>
      </c>
      <c r="D7" s="38" t="n">
        <f aca="false">Data!D29</f>
        <v>2000</v>
      </c>
      <c r="E7" s="37" t="n">
        <f aca="false">Data!E44</f>
        <v>84.62</v>
      </c>
      <c r="F7" s="38" t="n">
        <f aca="false">Data!D44</f>
        <v>2015</v>
      </c>
      <c r="G7" s="39" t="n">
        <f aca="false">(E7-C7)/(F7-D7)</f>
        <v>2.96333333333333</v>
      </c>
      <c r="H7" s="37" t="n">
        <f aca="false">Data!F29</f>
        <v>139.93</v>
      </c>
      <c r="I7" s="37" t="n">
        <f aca="false">Data!F52</f>
        <v>51.4</v>
      </c>
      <c r="J7" s="40" t="n">
        <f aca="false">(H7-I7)/H7</f>
        <v>0.632673479596941</v>
      </c>
    </row>
    <row r="8" customFormat="false" ht="15" hidden="false" customHeight="false" outlineLevel="0" collapsed="false">
      <c r="B8" s="31" t="s">
        <v>43</v>
      </c>
      <c r="C8" s="32" t="n">
        <f aca="false">Data!E53</f>
        <v>62.48</v>
      </c>
      <c r="D8" s="33" t="n">
        <f aca="false">Data!D53</f>
        <v>2000</v>
      </c>
      <c r="E8" s="32" t="n">
        <f aca="false">Data!E72</f>
        <v>86.16</v>
      </c>
      <c r="F8" s="33" t="n">
        <f aca="false">Data!D72</f>
        <v>2019</v>
      </c>
      <c r="G8" s="34" t="n">
        <f aca="false">(E8-C8)/(F8-D8)</f>
        <v>1.24631578947368</v>
      </c>
      <c r="H8" s="32" t="n">
        <f aca="false">Data!F53</f>
        <v>99.81</v>
      </c>
      <c r="I8" s="32" t="n">
        <f aca="false">Data!F76</f>
        <v>37.13</v>
      </c>
      <c r="J8" s="35" t="n">
        <f aca="false">(H8-I8)/H8</f>
        <v>0.627993187055405</v>
      </c>
    </row>
    <row r="9" customFormat="false" ht="15" hidden="false" customHeight="false" outlineLevel="0" collapsed="false">
      <c r="B9" s="36" t="s">
        <v>45</v>
      </c>
      <c r="C9" s="37" t="n">
        <f aca="false">Data!E77</f>
        <v>79.51</v>
      </c>
      <c r="D9" s="38" t="n">
        <f aca="false">Data!D77</f>
        <v>2000</v>
      </c>
      <c r="E9" s="37" t="n">
        <f aca="false">Data!E90</f>
        <v>92.26</v>
      </c>
      <c r="F9" s="38" t="n">
        <f aca="false">Data!D90</f>
        <v>2013</v>
      </c>
      <c r="G9" s="39" t="n">
        <f aca="false">(E9-C9)/(F9-D9)</f>
        <v>0.980769230769231</v>
      </c>
      <c r="H9" s="37" t="n">
        <f aca="false">Data!F77</f>
        <v>91.84</v>
      </c>
      <c r="I9" s="37" t="n">
        <f aca="false">Data!F100</f>
        <v>27.99</v>
      </c>
      <c r="J9" s="40" t="n">
        <f aca="false">(H9-I9)/H9</f>
        <v>0.695230836236934</v>
      </c>
    </row>
    <row r="10" customFormat="false" ht="15" hidden="false" customHeight="false" outlineLevel="0" collapsed="false">
      <c r="B10" s="31" t="s">
        <v>47</v>
      </c>
      <c r="C10" s="32" t="n">
        <f aca="false">Data!E101</f>
        <v>65.09</v>
      </c>
      <c r="D10" s="33" t="n">
        <f aca="false">Data!D101</f>
        <v>2000</v>
      </c>
      <c r="E10" s="32" t="n">
        <f aca="false">Data!E111</f>
        <v>64.14</v>
      </c>
      <c r="F10" s="33" t="n">
        <f aca="false">Data!D111</f>
        <v>2010</v>
      </c>
      <c r="G10" s="34" t="n">
        <f aca="false">(E10-C10)/(F10-D10)</f>
        <v>-0.0950000000000003</v>
      </c>
      <c r="H10" s="32" t="n">
        <f aca="false">Data!F101</f>
        <v>177.14</v>
      </c>
      <c r="I10" s="32" t="n">
        <f aca="false">Data!F124</f>
        <v>116.74</v>
      </c>
      <c r="J10" s="35" t="n">
        <f aca="false">(H10-I10)/H10</f>
        <v>0.340973241503895</v>
      </c>
    </row>
    <row r="11" customFormat="false" ht="15" hidden="false" customHeight="false" outlineLevel="0" collapsed="false">
      <c r="B11" s="36" t="s">
        <v>49</v>
      </c>
      <c r="C11" s="37" t="n">
        <f aca="false">Data!E127</f>
        <v>81.18</v>
      </c>
      <c r="D11" s="38" t="n">
        <f aca="false">Data!D127</f>
        <v>2002</v>
      </c>
      <c r="E11" s="37" t="n">
        <f aca="false">Data!E143</f>
        <v>94.79</v>
      </c>
      <c r="F11" s="38" t="n">
        <f aca="false">Data!D143</f>
        <v>2018</v>
      </c>
      <c r="G11" s="39" t="n">
        <f aca="false">(E11-C11)/(F11-D11)</f>
        <v>0.850625</v>
      </c>
      <c r="H11" s="37" t="n">
        <f aca="false">Data!F125</f>
        <v>184.03</v>
      </c>
      <c r="I11" s="37" t="n">
        <f aca="false">Data!F148</f>
        <v>38.73</v>
      </c>
      <c r="J11" s="40" t="n">
        <f aca="false">(H11-I11)/H11</f>
        <v>0.789545182850622</v>
      </c>
    </row>
    <row r="13" customFormat="false" ht="19.5" hidden="false" customHeight="true" outlineLevel="0" collapsed="false">
      <c r="B13" s="29" t="s">
        <v>72</v>
      </c>
      <c r="C13" s="29"/>
      <c r="D13" s="29"/>
      <c r="E13" s="29"/>
      <c r="F13" s="29"/>
      <c r="G13" s="29"/>
      <c r="H13" s="29"/>
      <c r="I13" s="29"/>
      <c r="J13" s="29"/>
      <c r="K13" s="29"/>
      <c r="L13" s="29"/>
    </row>
    <row r="14" customFormat="false" ht="15" hidden="false" customHeight="false" outlineLevel="0" collapsed="false">
      <c r="B14" s="30" t="s">
        <v>33</v>
      </c>
      <c r="C14" s="30" t="s">
        <v>73</v>
      </c>
      <c r="D14" s="30" t="s">
        <v>70</v>
      </c>
      <c r="E14" s="30" t="s">
        <v>74</v>
      </c>
      <c r="F14" s="30" t="s">
        <v>75</v>
      </c>
      <c r="G14" s="30" t="s">
        <v>76</v>
      </c>
      <c r="H14" s="30" t="s">
        <v>77</v>
      </c>
    </row>
    <row r="15" customFormat="false" ht="15" hidden="false" customHeight="false" outlineLevel="0" collapsed="false">
      <c r="B15" s="31" t="s">
        <v>39</v>
      </c>
      <c r="C15" s="32" t="n">
        <f aca="false">E6</f>
        <v>90.53</v>
      </c>
      <c r="D15" s="32" t="n">
        <f aca="false">I6</f>
        <v>30.56</v>
      </c>
      <c r="E15" s="41" t="n">
        <f aca="false">(C15-MIN($C$15:$C$20))/(MAX($C$15:$C$20)-MIN($C$15:$C$20))</f>
        <v>0.861011419249592</v>
      </c>
      <c r="F15" s="41" t="n">
        <f aca="false">(MAX($D$15:$D$20)-D15)/(MAX($D$15:$D$20)-MIN($D$15:$D$20))</f>
        <v>0.971042253521127</v>
      </c>
      <c r="G15" s="42" t="n">
        <f aca="false">AVERAGE(E15:F15)</f>
        <v>0.916026836385359</v>
      </c>
      <c r="H15" s="43" t="n">
        <f aca="false">RANK(G15,$G$15:$G$20)</f>
        <v>3</v>
      </c>
    </row>
    <row r="16" customFormat="false" ht="15" hidden="false" customHeight="false" outlineLevel="0" collapsed="false">
      <c r="B16" s="36" t="s">
        <v>41</v>
      </c>
      <c r="C16" s="37" t="n">
        <f aca="false">E7</f>
        <v>84.62</v>
      </c>
      <c r="D16" s="37" t="n">
        <f aca="false">I7</f>
        <v>51.4</v>
      </c>
      <c r="E16" s="44" t="n">
        <f aca="false">(C16-MIN($C$15:$C$20))/(MAX($C$15:$C$20)-MIN($C$15:$C$20))</f>
        <v>0.668189233278956</v>
      </c>
      <c r="F16" s="44" t="n">
        <f aca="false">(MAX($D$15:$D$20)-D16)/(MAX($D$15:$D$20)-MIN($D$15:$D$20))</f>
        <v>0.736225352112676</v>
      </c>
      <c r="G16" s="42" t="n">
        <f aca="false">AVERAGE(E16:F16)</f>
        <v>0.702207292695816</v>
      </c>
      <c r="H16" s="45" t="n">
        <f aca="false">RANK(G16,$G$15:$G$20)</f>
        <v>5</v>
      </c>
    </row>
    <row r="17" customFormat="false" ht="15" hidden="false" customHeight="false" outlineLevel="0" collapsed="false">
      <c r="B17" s="31" t="s">
        <v>43</v>
      </c>
      <c r="C17" s="32" t="n">
        <f aca="false">E8</f>
        <v>86.16</v>
      </c>
      <c r="D17" s="32" t="n">
        <f aca="false">I8</f>
        <v>37.13</v>
      </c>
      <c r="E17" s="41" t="n">
        <f aca="false">(C17-MIN($C$15:$C$20))/(MAX($C$15:$C$20)-MIN($C$15:$C$20))</f>
        <v>0.718433931484502</v>
      </c>
      <c r="F17" s="41" t="n">
        <f aca="false">(MAX($D$15:$D$20)-D17)/(MAX($D$15:$D$20)-MIN($D$15:$D$20))</f>
        <v>0.897014084507042</v>
      </c>
      <c r="G17" s="42" t="n">
        <f aca="false">AVERAGE(E17:F17)</f>
        <v>0.807724007995772</v>
      </c>
      <c r="H17" s="43" t="n">
        <f aca="false">RANK(G17,$G$15:$G$20)</f>
        <v>4</v>
      </c>
    </row>
    <row r="18" customFormat="false" ht="15" hidden="false" customHeight="false" outlineLevel="0" collapsed="false">
      <c r="B18" s="36" t="s">
        <v>45</v>
      </c>
      <c r="C18" s="37" t="n">
        <f aca="false">E9</f>
        <v>92.26</v>
      </c>
      <c r="D18" s="37" t="n">
        <f aca="false">I9</f>
        <v>27.99</v>
      </c>
      <c r="E18" s="44" t="n">
        <f aca="false">(C18-MIN($C$15:$C$20))/(MAX($C$15:$C$20)-MIN($C$15:$C$20))</f>
        <v>0.917455138662316</v>
      </c>
      <c r="F18" s="44" t="n">
        <f aca="false">(MAX($D$15:$D$20)-D18)/(MAX($D$15:$D$20)-MIN($D$15:$D$20))</f>
        <v>1</v>
      </c>
      <c r="G18" s="42" t="n">
        <f aca="false">AVERAGE(E18:F18)</f>
        <v>0.958727569331158</v>
      </c>
      <c r="H18" s="45" t="n">
        <f aca="false">RANK(G18,$G$15:$G$20)</f>
        <v>1</v>
      </c>
    </row>
    <row r="19" customFormat="false" ht="15" hidden="false" customHeight="false" outlineLevel="0" collapsed="false">
      <c r="B19" s="31" t="s">
        <v>47</v>
      </c>
      <c r="C19" s="32" t="n">
        <f aca="false">E10</f>
        <v>64.14</v>
      </c>
      <c r="D19" s="32" t="n">
        <f aca="false">I10</f>
        <v>116.74</v>
      </c>
      <c r="E19" s="41" t="n">
        <f aca="false">(C19-MIN($C$15:$C$20))/(MAX($C$15:$C$20)-MIN($C$15:$C$20))</f>
        <v>0</v>
      </c>
      <c r="F19" s="41" t="n">
        <f aca="false">(MAX($D$15:$D$20)-D19)/(MAX($D$15:$D$20)-MIN($D$15:$D$20))</f>
        <v>0</v>
      </c>
      <c r="G19" s="42" t="n">
        <f aca="false">AVERAGE(E19:F19)</f>
        <v>0</v>
      </c>
      <c r="H19" s="43" t="n">
        <f aca="false">RANK(G19,$G$15:$G$20)</f>
        <v>6</v>
      </c>
    </row>
    <row r="20" customFormat="false" ht="15" hidden="false" customHeight="false" outlineLevel="0" collapsed="false">
      <c r="B20" s="36" t="s">
        <v>49</v>
      </c>
      <c r="C20" s="37" t="n">
        <f aca="false">E11</f>
        <v>94.79</v>
      </c>
      <c r="D20" s="37" t="n">
        <f aca="false">I11</f>
        <v>38.73</v>
      </c>
      <c r="E20" s="44" t="n">
        <f aca="false">(C20-MIN($C$15:$C$20))/(MAX($C$15:$C$20)-MIN($C$15:$C$20))</f>
        <v>1</v>
      </c>
      <c r="F20" s="44" t="n">
        <f aca="false">(MAX($D$15:$D$20)-D20)/(MAX($D$15:$D$20)-MIN($D$15:$D$20))</f>
        <v>0.878985915492958</v>
      </c>
      <c r="G20" s="42" t="n">
        <f aca="false">AVERAGE(E20:F20)</f>
        <v>0.939492957746479</v>
      </c>
      <c r="H20" s="45" t="n">
        <f aca="false">RANK(G20,$G$15:$G$20)</f>
        <v>2</v>
      </c>
    </row>
    <row r="22" customFormat="false" ht="19.5" hidden="false" customHeight="true" outlineLevel="0" collapsed="false">
      <c r="B22" s="46" t="s">
        <v>78</v>
      </c>
      <c r="C22" s="46"/>
      <c r="D22" s="46"/>
      <c r="E22" s="46"/>
      <c r="F22" s="46"/>
      <c r="G22" s="46"/>
      <c r="H22" s="46"/>
      <c r="I22" s="46"/>
      <c r="J22" s="46"/>
      <c r="K22" s="46"/>
      <c r="L22" s="46"/>
    </row>
    <row r="23" customFormat="false" ht="15" hidden="false" customHeight="false" outlineLevel="0" collapsed="false">
      <c r="B23" s="47" t="s">
        <v>33</v>
      </c>
      <c r="C23" s="47" t="s">
        <v>68</v>
      </c>
      <c r="D23" s="47" t="s">
        <v>71</v>
      </c>
      <c r="E23" s="47" t="s">
        <v>74</v>
      </c>
      <c r="F23" s="47" t="s">
        <v>75</v>
      </c>
      <c r="G23" s="47" t="s">
        <v>76</v>
      </c>
      <c r="H23" s="47" t="s">
        <v>77</v>
      </c>
    </row>
    <row r="24" customFormat="false" ht="15" hidden="false" customHeight="false" outlineLevel="0" collapsed="false">
      <c r="B24" s="31" t="s">
        <v>39</v>
      </c>
      <c r="C24" s="34" t="n">
        <f aca="false">G6</f>
        <v>-0.631999999999999</v>
      </c>
      <c r="D24" s="35" t="n">
        <f aca="false">J6</f>
        <v>0.642363955529549</v>
      </c>
      <c r="E24" s="41" t="n">
        <f aca="false">(C24-MIN($C$24:$C$29))/(MAX($C$24:$C$29)-MIN($C$24:$C$29))</f>
        <v>0</v>
      </c>
      <c r="F24" s="41" t="n">
        <f aca="false">(D24-MIN($D$24:$D$29))/(MAX($D$24:$D$29)-MIN($D$24:$D$29))</f>
        <v>0.671889358752138</v>
      </c>
      <c r="G24" s="48" t="n">
        <f aca="false">AVERAGE(E24:F24)</f>
        <v>0.335944679376069</v>
      </c>
      <c r="H24" s="43" t="n">
        <f aca="false">RANK(G24,$G$24:$G$29)</f>
        <v>5</v>
      </c>
    </row>
    <row r="25" customFormat="false" ht="15" hidden="false" customHeight="false" outlineLevel="0" collapsed="false">
      <c r="B25" s="49" t="s">
        <v>41</v>
      </c>
      <c r="C25" s="50" t="n">
        <f aca="false">G7</f>
        <v>2.96333333333333</v>
      </c>
      <c r="D25" s="51" t="n">
        <f aca="false">J7</f>
        <v>0.632673479596941</v>
      </c>
      <c r="E25" s="52" t="n">
        <f aca="false">(C25-MIN($C$24:$C$29))/(MAX($C$24:$C$29)-MIN($C$24:$C$29))</f>
        <v>1</v>
      </c>
      <c r="F25" s="52" t="n">
        <f aca="false">(D25-MIN($D$24:$D$29))/(MAX($D$24:$D$29)-MIN($D$24:$D$29))</f>
        <v>0.650286411622822</v>
      </c>
      <c r="G25" s="48" t="n">
        <f aca="false">AVERAGE(E25:F25)</f>
        <v>0.825143205811411</v>
      </c>
      <c r="H25" s="53" t="n">
        <f aca="false">RANK(G25,$G$24:$G$29)</f>
        <v>1</v>
      </c>
    </row>
    <row r="26" customFormat="false" ht="15" hidden="false" customHeight="false" outlineLevel="0" collapsed="false">
      <c r="B26" s="31" t="s">
        <v>43</v>
      </c>
      <c r="C26" s="34" t="n">
        <f aca="false">G8</f>
        <v>1.24631578947368</v>
      </c>
      <c r="D26" s="35" t="n">
        <f aca="false">J8</f>
        <v>0.627993187055405</v>
      </c>
      <c r="E26" s="41" t="n">
        <f aca="false">(C26-MIN($C$24:$C$29))/(MAX($C$24:$C$29)-MIN($C$24:$C$29))</f>
        <v>0.522431612128783</v>
      </c>
      <c r="F26" s="41" t="n">
        <f aca="false">(D26-MIN($D$24:$D$29))/(MAX($D$24:$D$29)-MIN($D$24:$D$29))</f>
        <v>0.639852650368196</v>
      </c>
      <c r="G26" s="48" t="n">
        <f aca="false">AVERAGE(E26:F26)</f>
        <v>0.581142131248489</v>
      </c>
      <c r="H26" s="43" t="n">
        <f aca="false">RANK(G26,$G$24:$G$29)</f>
        <v>4</v>
      </c>
    </row>
    <row r="27" customFormat="false" ht="15" hidden="false" customHeight="false" outlineLevel="0" collapsed="false">
      <c r="B27" s="49" t="s">
        <v>45</v>
      </c>
      <c r="C27" s="50" t="n">
        <f aca="false">G9</f>
        <v>0.980769230769231</v>
      </c>
      <c r="D27" s="51" t="n">
        <f aca="false">J9</f>
        <v>0.695230836236934</v>
      </c>
      <c r="E27" s="52" t="n">
        <f aca="false">(C27-MIN($C$24:$C$29))/(MAX($C$24:$C$29)-MIN($C$24:$C$29))</f>
        <v>0.448572936427563</v>
      </c>
      <c r="F27" s="52" t="n">
        <f aca="false">(D27-MIN($D$24:$D$29))/(MAX($D$24:$D$29)-MIN($D$24:$D$29))</f>
        <v>0.789745327515286</v>
      </c>
      <c r="G27" s="48" t="n">
        <f aca="false">AVERAGE(E27:F27)</f>
        <v>0.619159131971424</v>
      </c>
      <c r="H27" s="53" t="n">
        <f aca="false">RANK(G27,$G$24:$G$29)</f>
        <v>3</v>
      </c>
    </row>
    <row r="28" customFormat="false" ht="15" hidden="false" customHeight="false" outlineLevel="0" collapsed="false">
      <c r="B28" s="31" t="s">
        <v>47</v>
      </c>
      <c r="C28" s="34" t="n">
        <f aca="false">G10</f>
        <v>-0.0950000000000003</v>
      </c>
      <c r="D28" s="35" t="n">
        <f aca="false">J10</f>
        <v>0.340973241503895</v>
      </c>
      <c r="E28" s="41" t="n">
        <f aca="false">(C28-MIN($C$24:$C$29))/(MAX($C$24:$C$29)-MIN($C$24:$C$29))</f>
        <v>0.149360281846838</v>
      </c>
      <c r="F28" s="41" t="n">
        <f aca="false">(D28-MIN($D$24:$D$29))/(MAX($D$24:$D$29)-MIN($D$24:$D$29))</f>
        <v>0</v>
      </c>
      <c r="G28" s="48" t="n">
        <f aca="false">AVERAGE(E28:F28)</f>
        <v>0.0746801409234191</v>
      </c>
      <c r="H28" s="43" t="n">
        <f aca="false">RANK(G28,$G$24:$G$29)</f>
        <v>6</v>
      </c>
    </row>
    <row r="29" customFormat="false" ht="15" hidden="false" customHeight="false" outlineLevel="0" collapsed="false">
      <c r="B29" s="49" t="s">
        <v>49</v>
      </c>
      <c r="C29" s="50" t="n">
        <f aca="false">G11</f>
        <v>0.850625</v>
      </c>
      <c r="D29" s="51" t="n">
        <f aca="false">J11</f>
        <v>0.789545182850622</v>
      </c>
      <c r="E29" s="52" t="n">
        <f aca="false">(C29-MIN($C$24:$C$29))/(MAX($C$24:$C$29)-MIN($C$24:$C$29))</f>
        <v>0.412374837752642</v>
      </c>
      <c r="F29" s="52" t="n">
        <f aca="false">(D29-MIN($D$24:$D$29))/(MAX($D$24:$D$29)-MIN($D$24:$D$29))</f>
        <v>1</v>
      </c>
      <c r="G29" s="48" t="n">
        <f aca="false">AVERAGE(E29:F29)</f>
        <v>0.706187418876321</v>
      </c>
      <c r="H29" s="53" t="n">
        <f aca="false">RANK(G29,$G$24:$G$29)</f>
        <v>2</v>
      </c>
    </row>
    <row r="31" customFormat="false" ht="19.5" hidden="false" customHeight="true" outlineLevel="0" collapsed="false">
      <c r="B31" s="54" t="s">
        <v>79</v>
      </c>
      <c r="C31" s="54"/>
      <c r="D31" s="54"/>
      <c r="E31" s="54"/>
      <c r="F31" s="54"/>
      <c r="G31" s="54"/>
      <c r="H31" s="54"/>
      <c r="I31" s="54"/>
      <c r="J31" s="54"/>
      <c r="K31" s="54"/>
      <c r="L31" s="54"/>
    </row>
    <row r="32" customFormat="false" ht="15" hidden="false" customHeight="false" outlineLevel="0" collapsed="false">
      <c r="B32" s="55" t="s">
        <v>33</v>
      </c>
      <c r="C32" s="55" t="s">
        <v>80</v>
      </c>
      <c r="D32" s="55" t="s">
        <v>81</v>
      </c>
      <c r="E32" s="55" t="s">
        <v>82</v>
      </c>
    </row>
    <row r="33" customFormat="false" ht="15" hidden="false" customHeight="false" outlineLevel="0" collapsed="false">
      <c r="B33" s="31" t="s">
        <v>39</v>
      </c>
      <c r="C33" s="33" t="n">
        <f aca="false">H15</f>
        <v>3</v>
      </c>
      <c r="D33" s="33" t="n">
        <f aca="false">H24</f>
        <v>5</v>
      </c>
      <c r="E33" s="56" t="n">
        <f aca="false">C33-D33</f>
        <v>-2</v>
      </c>
    </row>
    <row r="34" customFormat="false" ht="15" hidden="false" customHeight="false" outlineLevel="0" collapsed="false">
      <c r="B34" s="57" t="s">
        <v>41</v>
      </c>
      <c r="C34" s="58" t="n">
        <f aca="false">H16</f>
        <v>5</v>
      </c>
      <c r="D34" s="58" t="n">
        <f aca="false">H25</f>
        <v>1</v>
      </c>
      <c r="E34" s="59" t="n">
        <f aca="false">C34-D34</f>
        <v>4</v>
      </c>
    </row>
    <row r="35" customFormat="false" ht="15" hidden="false" customHeight="false" outlineLevel="0" collapsed="false">
      <c r="B35" s="31" t="s">
        <v>43</v>
      </c>
      <c r="C35" s="33" t="n">
        <f aca="false">H17</f>
        <v>4</v>
      </c>
      <c r="D35" s="33" t="n">
        <f aca="false">H26</f>
        <v>4</v>
      </c>
      <c r="E35" s="56" t="n">
        <f aca="false">C35-D35</f>
        <v>0</v>
      </c>
    </row>
    <row r="36" customFormat="false" ht="15" hidden="false" customHeight="false" outlineLevel="0" collapsed="false">
      <c r="B36" s="57" t="s">
        <v>45</v>
      </c>
      <c r="C36" s="58" t="n">
        <f aca="false">H18</f>
        <v>1</v>
      </c>
      <c r="D36" s="58" t="n">
        <f aca="false">H27</f>
        <v>3</v>
      </c>
      <c r="E36" s="59" t="n">
        <f aca="false">C36-D36</f>
        <v>-2</v>
      </c>
    </row>
    <row r="37" customFormat="false" ht="15" hidden="false" customHeight="false" outlineLevel="0" collapsed="false">
      <c r="B37" s="31" t="s">
        <v>47</v>
      </c>
      <c r="C37" s="33" t="n">
        <f aca="false">H19</f>
        <v>6</v>
      </c>
      <c r="D37" s="33" t="n">
        <f aca="false">H28</f>
        <v>6</v>
      </c>
      <c r="E37" s="56" t="n">
        <f aca="false">C37-D37</f>
        <v>0</v>
      </c>
    </row>
    <row r="38" customFormat="false" ht="15" hidden="false" customHeight="false" outlineLevel="0" collapsed="false">
      <c r="B38" s="57" t="s">
        <v>49</v>
      </c>
      <c r="C38" s="58" t="n">
        <f aca="false">H20</f>
        <v>2</v>
      </c>
      <c r="D38" s="58" t="n">
        <f aca="false">H29</f>
        <v>2</v>
      </c>
      <c r="E38" s="59" t="n">
        <f aca="false">C38-D38</f>
        <v>0</v>
      </c>
    </row>
    <row r="40" customFormat="false" ht="51.75" hidden="false" customHeight="true" outlineLevel="0" collapsed="false">
      <c r="B40" s="10" t="s">
        <v>83</v>
      </c>
      <c r="C40" s="10"/>
      <c r="D40" s="10"/>
      <c r="E40" s="10"/>
      <c r="F40" s="10"/>
      <c r="G40" s="10"/>
      <c r="H40" s="10"/>
      <c r="I40" s="10"/>
      <c r="J40" s="10"/>
      <c r="K40" s="10"/>
      <c r="L40" s="10"/>
    </row>
  </sheetData>
  <mergeCells count="6">
    <mergeCell ref="B2:L2"/>
    <mergeCell ref="B4:L4"/>
    <mergeCell ref="B13:L13"/>
    <mergeCell ref="B22:L22"/>
    <mergeCell ref="B31:L31"/>
    <mergeCell ref="B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s>
  <sheetData>
    <row r="2" customFormat="false" ht="30" hidden="false" customHeight="true" outlineLevel="0" collapsed="false">
      <c r="B2" s="60" t="s">
        <v>84</v>
      </c>
      <c r="C2" s="60"/>
      <c r="D2" s="60"/>
      <c r="E2" s="60"/>
      <c r="F2" s="60"/>
      <c r="G2" s="60"/>
      <c r="H2" s="60"/>
      <c r="I2" s="60"/>
      <c r="J2" s="60"/>
      <c r="K2" s="60"/>
      <c r="L2" s="60"/>
      <c r="M2" s="60"/>
      <c r="N2" s="60"/>
    </row>
    <row r="3" customFormat="false" ht="18" hidden="false" customHeight="true" outlineLevel="0" collapsed="false">
      <c r="B3" s="61" t="s">
        <v>85</v>
      </c>
      <c r="C3" s="61"/>
      <c r="D3" s="61"/>
      <c r="E3" s="61"/>
      <c r="F3" s="61"/>
      <c r="G3" s="61"/>
      <c r="H3" s="61"/>
      <c r="I3" s="61"/>
      <c r="J3" s="61"/>
      <c r="K3" s="61"/>
      <c r="L3" s="61"/>
      <c r="M3" s="61"/>
      <c r="N3" s="61"/>
    </row>
    <row r="24" customFormat="false" ht="21.75" hidden="false" customHeight="true" outlineLevel="0" collapsed="false">
      <c r="B24" s="62" t="s">
        <v>86</v>
      </c>
      <c r="C24" s="62"/>
      <c r="D24" s="62"/>
      <c r="E24" s="62"/>
      <c r="F24" s="62"/>
      <c r="G24" s="62"/>
      <c r="H24" s="62"/>
      <c r="I24" s="62"/>
      <c r="J24" s="62"/>
      <c r="K24" s="62"/>
      <c r="L24" s="62"/>
      <c r="M24" s="62"/>
      <c r="N24" s="62"/>
    </row>
    <row r="45" customFormat="false" ht="21.75" hidden="false" customHeight="true" outlineLevel="0" collapsed="false">
      <c r="B45" s="62" t="s">
        <v>87</v>
      </c>
      <c r="C45" s="62"/>
      <c r="D45" s="62"/>
      <c r="E45" s="62"/>
      <c r="F45" s="62"/>
      <c r="G45" s="62"/>
      <c r="H45" s="62"/>
      <c r="I45" s="62"/>
      <c r="J45" s="62"/>
      <c r="K45" s="62"/>
      <c r="L45" s="62"/>
      <c r="M45" s="62"/>
      <c r="N45" s="62"/>
    </row>
  </sheetData>
  <mergeCells count="4">
    <mergeCell ref="B2:N2"/>
    <mergeCell ref="B3:N3"/>
    <mergeCell ref="B24:N24"/>
    <mergeCell ref="B45:N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0"/>
  </cols>
  <sheetData>
    <row r="2" customFormat="false" ht="30" hidden="false" customHeight="true" outlineLevel="0" collapsed="false">
      <c r="B2" s="63" t="s">
        <v>88</v>
      </c>
    </row>
    <row r="4" customFormat="false" ht="21.75" hidden="false" customHeight="true" outlineLevel="0" collapsed="false">
      <c r="B4" s="64" t="s">
        <v>89</v>
      </c>
    </row>
    <row r="5" customFormat="false" ht="60" hidden="false" customHeight="true" outlineLevel="0" collapsed="false">
      <c r="B5" s="65" t="s">
        <v>90</v>
      </c>
    </row>
    <row r="7" customFormat="false" ht="21.75" hidden="false" customHeight="true" outlineLevel="0" collapsed="false">
      <c r="B7" s="64" t="s">
        <v>91</v>
      </c>
    </row>
    <row r="8" customFormat="false" ht="75" hidden="false" customHeight="true" outlineLevel="0" collapsed="false">
      <c r="B8" s="65" t="s">
        <v>92</v>
      </c>
    </row>
    <row r="10" customFormat="false" ht="21.75" hidden="false" customHeight="true" outlineLevel="0" collapsed="false">
      <c r="B10" s="64" t="s">
        <v>93</v>
      </c>
    </row>
    <row r="11" customFormat="false" ht="105" hidden="false" customHeight="true" outlineLevel="0" collapsed="false">
      <c r="B11" s="66" t="s">
        <v>94</v>
      </c>
    </row>
    <row r="13" customFormat="false" ht="21.75" hidden="false" customHeight="true" outlineLevel="0" collapsed="false">
      <c r="B13" s="64" t="s">
        <v>95</v>
      </c>
    </row>
    <row r="14" customFormat="false" ht="60" hidden="false" customHeight="true" outlineLevel="0" collapsed="false">
      <c r="B14" s="66"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0"/>
  </cols>
  <sheetData>
    <row r="2" customFormat="false" ht="30" hidden="false" customHeight="true" outlineLevel="0" collapsed="false">
      <c r="B2" s="67" t="s">
        <v>97</v>
      </c>
    </row>
    <row r="4" customFormat="false" ht="21.75" hidden="false" customHeight="true" outlineLevel="0" collapsed="false">
      <c r="B4" s="68" t="s">
        <v>98</v>
      </c>
    </row>
    <row r="5" customFormat="false" ht="60" hidden="false" customHeight="true" outlineLevel="0" collapsed="false">
      <c r="B5" s="69" t="s">
        <v>99</v>
      </c>
    </row>
    <row r="7" customFormat="false" ht="21.75" hidden="false" customHeight="true" outlineLevel="0" collapsed="false">
      <c r="B7" s="68" t="s">
        <v>100</v>
      </c>
    </row>
    <row r="8" customFormat="false" ht="60" hidden="false" customHeight="true" outlineLevel="0" collapsed="false">
      <c r="B8" s="69" t="s">
        <v>101</v>
      </c>
    </row>
    <row r="10" customFormat="false" ht="21.75" hidden="false" customHeight="true" outlineLevel="0" collapsed="false">
      <c r="B10" s="68" t="s">
        <v>102</v>
      </c>
    </row>
    <row r="11" customFormat="false" ht="90" hidden="false" customHeight="true" outlineLevel="0" collapsed="false">
      <c r="B11" s="66" t="s">
        <v>103</v>
      </c>
    </row>
    <row r="13" customFormat="false" ht="21.75" hidden="false" customHeight="true" outlineLevel="0" collapsed="false">
      <c r="B13" s="68" t="s">
        <v>104</v>
      </c>
    </row>
    <row r="14" customFormat="false" ht="60" hidden="false" customHeight="true" outlineLevel="0" collapsed="false">
      <c r="B14" s="66" t="s">
        <v>105</v>
      </c>
    </row>
    <row r="16" customFormat="false" ht="21.75" hidden="false" customHeight="true" outlineLevel="0" collapsed="false">
      <c r="B16" s="68" t="s">
        <v>106</v>
      </c>
    </row>
    <row r="17" customFormat="false" ht="75" hidden="false" customHeight="true" outlineLevel="0" collapsed="false">
      <c r="B17" s="69" t="s">
        <v>107</v>
      </c>
    </row>
    <row r="19" customFormat="false" ht="21.75" hidden="false" customHeight="true" outlineLevel="0" collapsed="false">
      <c r="B19" s="68" t="s">
        <v>108</v>
      </c>
    </row>
    <row r="20" customFormat="false" ht="45" hidden="false" customHeight="true" outlineLevel="0" collapsed="false">
      <c r="B20" s="69" t="s">
        <v>109</v>
      </c>
    </row>
    <row r="22" customFormat="false" ht="21.75" hidden="false" customHeight="true" outlineLevel="0" collapsed="false">
      <c r="B22" s="68" t="s">
        <v>110</v>
      </c>
    </row>
    <row r="23" customFormat="false" ht="75" hidden="false" customHeight="true" outlineLevel="0" collapsed="false">
      <c r="B23" s="66" t="s">
        <v>111</v>
      </c>
    </row>
    <row r="25" customFormat="false" ht="21.75" hidden="false" customHeight="true" outlineLevel="0" collapsed="false">
      <c r="B25" s="68" t="s">
        <v>112</v>
      </c>
    </row>
    <row r="26" customFormat="false" ht="60" hidden="false" customHeight="true" outlineLevel="0" collapsed="false">
      <c r="B26" s="66"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2026-07-02T11:09:42Z</dcterms:created>
  <dc:creator>openpyxl</dc:creator>
  <dc:description/>
  <dc:language>en-US</dc:language>
  <cp:lastModifiedBy/>
  <dcterms:modified xsi:type="dcterms:W3CDTF">2026-07-02T11:09:46Z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